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00_使用說明" sheetId="1" state="visible" r:id="rId3"/>
    <sheet name="01_專案總覽" sheetId="2" state="visible" r:id="rId4"/>
    <sheet name="02_功能規劃" sheetId="3" state="visible" r:id="rId5"/>
    <sheet name="03_模組硬體規劃" sheetId="4" state="visible" r:id="rId6"/>
    <sheet name="04_軟體規劃" sheetId="5" state="visible" r:id="rId7"/>
    <sheet name="05_預算規劃" sheetId="6" state="visible" r:id="rId8"/>
    <sheet name="06_里程碑" sheetId="7" state="visible" r:id="rId9"/>
    <sheet name="07_風險與安全" sheetId="8" state="visible" r:id="rId10"/>
    <sheet name="08_重量與電力估算" sheetId="9" state="visible" r:id="rId11"/>
    <sheet name="09_版本紀錄" sheetId="10" state="visible" r:id="rId1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<sst xmlns="http://schemas.openxmlformats.org/spreadsheetml/2006/main" count="211" uniqueCount="171">
  <si>
    <t xml:space="preserve">機器人系統最初規劃表｜空白模板</t>
  </si>
  <si>
    <t xml:space="preserve">用途</t>
  </si>
  <si>
    <t xml:space="preserve">規劃機器人能做什麼、需要哪些硬體/軟體、預算、里程碑、重量、電力與風險。</t>
  </si>
  <si>
    <t xml:space="preserve">建議填寫順序</t>
  </si>
  <si>
    <t xml:space="preserve">01 專案總覽 → 02 功能規劃 → 03 模組硬體 → 04 軟體規劃 → 05 預算規劃 → 06 里程碑 → 07 風險安全 → 08 重量電力。</t>
  </si>
  <si>
    <t xml:space="preserve">目前專案基準</t>
  </si>
  <si>
    <t xml:space="preserve">低成本 ROS 2 分散式機器人控制與安全測試平台；Pi Zero 2W 走 Ethernet/ROS 2；Pi Pico 2W/MCU 走 UART/USB CDC serial。</t>
  </si>
  <si>
    <t xml:space="preserve">電源基準</t>
  </si>
  <si>
    <t xml:space="preserve">可填入 2S3P LiFePO4；每個 Pi Zero 2W 一顆 5V 降壓板；每片 Pico/MCU 一顆 5V 降壓板；SG90 經伺服降壓板；腰部 SR-HST-I-17MG 直接接 2S LiFePO4。</t>
  </si>
  <si>
    <t xml:space="preserve">公開邊界</t>
  </si>
  <si>
    <t xml:space="preserve">若要對外公開，請先刪除完整封包欄位、ID 對照、接線細節、供應商與個人聯絡資訊。</t>
  </si>
  <si>
    <t xml:space="preserve">預算表</t>
  </si>
  <si>
    <t xml:space="preserve">05 預算規劃含公式：數量 × 單價 + 運費/雜費 = 小計。</t>
  </si>
  <si>
    <t xml:space="preserve">重量電力表</t>
  </si>
  <si>
    <t xml:space="preserve">08 重量與電力估算含公式：電壓 × 容量 = Wh；可用能量 ÷ 平均功耗 = 續航。</t>
  </si>
  <si>
    <t xml:space="preserve">狀態欄</t>
  </si>
  <si>
    <t xml:space="preserve">多數表格有下拉選單，方便規劃與追蹤。</t>
  </si>
  <si>
    <t xml:space="preserve">版本</t>
  </si>
  <si>
    <t xml:space="preserve">v0.1</t>
  </si>
  <si>
    <t xml:space="preserve">建立日期</t>
  </si>
  <si>
    <t xml:space="preserve">2026-07-15</t>
  </si>
  <si>
    <t xml:space="preserve">專案總覽</t>
  </si>
  <si>
    <t xml:space="preserve">項目</t>
  </si>
  <si>
    <t xml:space="preserve">填寫內容</t>
  </si>
  <si>
    <t xml:space="preserve">備註</t>
  </si>
  <si>
    <t xml:space="preserve">專案名稱</t>
  </si>
  <si>
    <t xml:space="preserve">例如：低成本 ROS 2 分散式機器人控制與安全測試平台</t>
  </si>
  <si>
    <t xml:space="preserve">專案版本</t>
  </si>
  <si>
    <t xml:space="preserve">例如：v0.1 / MVP / 第一階段</t>
  </si>
  <si>
    <t xml:space="preserve">一句話定位</t>
  </si>
  <si>
    <t xml:space="preserve">用一句話說明這台機器人或測試平台的定位</t>
  </si>
  <si>
    <t xml:space="preserve">機器人能做什麼</t>
  </si>
  <si>
    <t xml:space="preserve">例如：移動、避障、語音指令、手部動作、安全停機</t>
  </si>
  <si>
    <t xml:space="preserve">主要使用情境</t>
  </si>
  <si>
    <t xml:space="preserve">例如：ROS 2 多機測試、MCU 通訊測試、伺服控制測試</t>
  </si>
  <si>
    <t xml:space="preserve">主要限制</t>
  </si>
  <si>
    <t xml:space="preserve">預算、重量、尺寸、續航、安全、開發時間</t>
  </si>
  <si>
    <t xml:space="preserve">目標完成日期</t>
  </si>
  <si>
    <t xml:space="preserve">yyyy-mm-dd</t>
  </si>
  <si>
    <t xml:space="preserve">目前階段</t>
  </si>
  <si>
    <t xml:space="preserve">概念 / 規劃 / 採購 / 組裝 / 測試 / 展示</t>
  </si>
  <si>
    <t xml:space="preserve">自動摘要</t>
  </si>
  <si>
    <t xml:space="preserve">功能數量</t>
  </si>
  <si>
    <t xml:space="preserve">模組數量</t>
  </si>
  <si>
    <t xml:space="preserve">預算合計</t>
  </si>
  <si>
    <t xml:space="preserve">已購買金額</t>
  </si>
  <si>
    <t xml:space="preserve">軟體項目</t>
  </si>
  <si>
    <t xml:space="preserve">未完成里程碑</t>
  </si>
  <si>
    <t xml:space="preserve">待購買金額</t>
  </si>
  <si>
    <t xml:space="preserve">預估總重量kg</t>
  </si>
  <si>
    <t xml:space="preserve">高風險數</t>
  </si>
  <si>
    <t xml:space="preserve">預估續航小時</t>
  </si>
  <si>
    <t xml:space="preserve">預算差額</t>
  </si>
  <si>
    <t xml:space="preserve">功能規劃表｜機器人要做什麼</t>
  </si>
  <si>
    <t xml:space="preserve">功能ID</t>
  </si>
  <si>
    <t xml:space="preserve">功能名稱</t>
  </si>
  <si>
    <t xml:space="preserve">功能說明</t>
  </si>
  <si>
    <t xml:space="preserve">使用者情境</t>
  </si>
  <si>
    <t xml:space="preserve">輸入來源</t>
  </si>
  <si>
    <t xml:space="preserve">輸出動作</t>
  </si>
  <si>
    <t xml:space="preserve">必要模組</t>
  </si>
  <si>
    <t xml:space="preserve">成功判準</t>
  </si>
  <si>
    <t xml:space="preserve">優先順序</t>
  </si>
  <si>
    <t xml:space="preserve">狀態</t>
  </si>
  <si>
    <t xml:space="preserve">模組與硬體規劃表</t>
  </si>
  <si>
    <t xml:space="preserve">模組ID</t>
  </si>
  <si>
    <t xml:space="preserve">模組區塊</t>
  </si>
  <si>
    <t xml:space="preserve">零件/板卡名稱</t>
  </si>
  <si>
    <t xml:space="preserve">角色/用途</t>
  </si>
  <si>
    <t xml:space="preserve">數量</t>
  </si>
  <si>
    <t xml:space="preserve">單位</t>
  </si>
  <si>
    <t xml:space="preserve">供電方式</t>
  </si>
  <si>
    <t xml:space="preserve">通訊方式</t>
  </si>
  <si>
    <t xml:space="preserve">連接對象</t>
  </si>
  <si>
    <t xml:space="preserve">是否必要</t>
  </si>
  <si>
    <t xml:space="preserve">採購狀態</t>
  </si>
  <si>
    <t xml:space="preserve">相依功能ID</t>
  </si>
  <si>
    <t xml:space="preserve">軟體 / ROS 2 / 韌體規劃表</t>
  </si>
  <si>
    <t xml:space="preserve">軟體ID</t>
  </si>
  <si>
    <t xml:space="preserve">分類</t>
  </si>
  <si>
    <t xml:space="preserve">名稱</t>
  </si>
  <si>
    <t xml:space="preserve">執行主機/控制板</t>
  </si>
  <si>
    <t xml:space="preserve">語言/框架</t>
  </si>
  <si>
    <t xml:space="preserve">輸入</t>
  </si>
  <si>
    <t xml:space="preserve">輸出</t>
  </si>
  <si>
    <t xml:space="preserve">預算規劃表</t>
  </si>
  <si>
    <t xml:space="preserve">摘要項目</t>
  </si>
  <si>
    <t xml:space="preserve">金額/數值</t>
  </si>
  <si>
    <t xml:space="preserve">說明</t>
  </si>
  <si>
    <t xml:space="preserve">全部項目小計總和</t>
  </si>
  <si>
    <t xml:space="preserve">已購買/已到貨</t>
  </si>
  <si>
    <t xml:space="preserve">尚未購買</t>
  </si>
  <si>
    <t xml:space="preserve">目標總預算</t>
  </si>
  <si>
    <t xml:space="preserve">手動填寫</t>
  </si>
  <si>
    <t xml:space="preserve">正數=還有餘裕；負數=超支</t>
  </si>
  <si>
    <t xml:space="preserve">預算ID</t>
  </si>
  <si>
    <t xml:space="preserve">類別</t>
  </si>
  <si>
    <t xml:space="preserve">項目名稱</t>
  </si>
  <si>
    <t xml:space="preserve">規格/型號</t>
  </si>
  <si>
    <t xml:space="preserve">需求數量</t>
  </si>
  <si>
    <t xml:space="preserve">單價</t>
  </si>
  <si>
    <t xml:space="preserve">運費/雜費</t>
  </si>
  <si>
    <t xml:space="preserve">小計</t>
  </si>
  <si>
    <t xml:space="preserve">供應商/來源</t>
  </si>
  <si>
    <t xml:space="preserve">里程碑與測試規劃表</t>
  </si>
  <si>
    <t xml:space="preserve">階段ID</t>
  </si>
  <si>
    <t xml:space="preserve">階段名稱</t>
  </si>
  <si>
    <t xml:space="preserve">目標</t>
  </si>
  <si>
    <t xml:space="preserve">開始日</t>
  </si>
  <si>
    <t xml:space="preserve">預定完成日</t>
  </si>
  <si>
    <t xml:space="preserve">實際完成日</t>
  </si>
  <si>
    <t xml:space="preserve">輸出成果</t>
  </si>
  <si>
    <t xml:space="preserve">風險與安全規劃表</t>
  </si>
  <si>
    <t xml:space="preserve">風險ID</t>
  </si>
  <si>
    <t xml:space="preserve">風險類型</t>
  </si>
  <si>
    <t xml:space="preserve">嚴重度</t>
  </si>
  <si>
    <t xml:space="preserve">發生機率</t>
  </si>
  <si>
    <t xml:space="preserve">風險描述</t>
  </si>
  <si>
    <t xml:space="preserve">影響範圍</t>
  </si>
  <si>
    <t xml:space="preserve">預防措施</t>
  </si>
  <si>
    <t xml:space="preserve">偵測方式</t>
  </si>
  <si>
    <t xml:space="preserve">安全處理</t>
  </si>
  <si>
    <t xml:space="preserve">負責人</t>
  </si>
  <si>
    <t xml:space="preserve">重量與電力估算表</t>
  </si>
  <si>
    <t xml:space="preserve">重量摘要</t>
  </si>
  <si>
    <t xml:space="preserve">數值</t>
  </si>
  <si>
    <t xml:space="preserve">未加電池重量</t>
  </si>
  <si>
    <t xml:space="preserve">kg</t>
  </si>
  <si>
    <t xml:space="preserve">電池重量</t>
  </si>
  <si>
    <t xml:space="preserve">其他增加重量</t>
  </si>
  <si>
    <t xml:space="preserve">BMS / 線材 / 固定件</t>
  </si>
  <si>
    <t xml:space="preserve">預估總重量</t>
  </si>
  <si>
    <t xml:space="preserve">自動計算</t>
  </si>
  <si>
    <t xml:space="preserve">設計抓重</t>
  </si>
  <si>
    <t xml:space="preserve">建議高於預估總重量</t>
  </si>
  <si>
    <t xml:space="preserve">麥克納姆輪直徑</t>
  </si>
  <si>
    <t xml:space="preserve">mm</t>
  </si>
  <si>
    <t xml:space="preserve">例如 60mm</t>
  </si>
  <si>
    <t xml:space="preserve">電力摘要</t>
  </si>
  <si>
    <t xml:space="preserve">電池標稱電壓</t>
  </si>
  <si>
    <t xml:space="preserve">V</t>
  </si>
  <si>
    <t xml:space="preserve">例如 2S LiFePO4 = 6.4V</t>
  </si>
  <si>
    <t xml:space="preserve">電池容量</t>
  </si>
  <si>
    <t xml:space="preserve">Ah</t>
  </si>
  <si>
    <t xml:space="preserve">例如 2S3P = 45Ah</t>
  </si>
  <si>
    <t xml:space="preserve">理論能量</t>
  </si>
  <si>
    <t xml:space="preserve">Wh</t>
  </si>
  <si>
    <t xml:space="preserve">可用能量比例</t>
  </si>
  <si>
    <t xml:space="preserve">%</t>
  </si>
  <si>
    <t xml:space="preserve">建議 80%～90%</t>
  </si>
  <si>
    <t xml:space="preserve">估計平均功耗</t>
  </si>
  <si>
    <t xml:space="preserve">W</t>
  </si>
  <si>
    <t xml:space="preserve">依實測填寫</t>
  </si>
  <si>
    <t xml:space="preserve">預估續航</t>
  </si>
  <si>
    <t xml:space="preserve">h</t>
  </si>
  <si>
    <t xml:space="preserve">可用能量 / 平均功耗</t>
  </si>
  <si>
    <t xml:space="preserve">項目ID</t>
  </si>
  <si>
    <t xml:space="preserve">單位重量kg</t>
  </si>
  <si>
    <t xml:space="preserve">總重量kg</t>
  </si>
  <si>
    <t xml:space="preserve">估計功耗W</t>
  </si>
  <si>
    <t xml:space="preserve">版本紀錄 / 決策紀錄</t>
  </si>
  <si>
    <t xml:space="preserve">日期</t>
  </si>
  <si>
    <t xml:space="preserve">變更類型</t>
  </si>
  <si>
    <t xml:space="preserve">變更內容</t>
  </si>
  <si>
    <t xml:space="preserve">原因</t>
  </si>
  <si>
    <t xml:space="preserve">影響表單</t>
  </si>
  <si>
    <t xml:space="preserve">決策人</t>
  </si>
  <si>
    <t xml:space="preserve">建立</t>
  </si>
  <si>
    <t xml:space="preserve">建立空白規劃表模板</t>
  </si>
  <si>
    <t xml:space="preserve">供初期規劃使用</t>
  </si>
  <si>
    <t xml:space="preserve">全部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</si>
</sst>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"/>
    <numFmt numFmtId="166" formatCode="0"/>
    <numFmt numFmtId="167" formatCode="yyyy\-mm\-dd"/>
    <numFmt numFmtId="168" formatCode="0.000"/>
    <numFmt numFmtId="169" formatCode="0.00"/>
    <numFmt numFmtId="170" formatCode="0%"/>
  </numFmts>
  <fonts count="8">
    <font>
      <sz val="10"/>
      <name val="Noto Sans CJK T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0F766E"/>
        <bgColor rgb="FF008080"/>
      </patternFill>
    </fill>
    <fill>
      <patternFill patternType="solid">
        <fgColor rgb="FFD9EAF7"/>
        <bgColor rgb="FFEAF4FF"/>
      </patternFill>
    </fill>
    <fill>
      <patternFill patternType="solid">
        <fgColor rgb="FFEAF4FF"/>
        <bgColor rgb="FFD9EAF7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4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4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4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4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4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4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9.47265625" defaultRowHeight="15" zeroHeight="false" outlineLevelRow="0" outlineLevelCol="0"/>
  <cols>
    <col collapsed="false" customWidth="true" hidden="false" outlineLevel="0" max="1" min="1" style="0" width="19.79"/>
    <col collapsed="false" customWidth="true" hidden="false" outlineLevel="0" max="2" min="2" style="0" width="87.93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24" hidden="false" customHeight="true" outlineLevel="0" collapsed="false">
      <c r="A3" s="2" t="s">
        <v>1</v>
      </c>
      <c r="B3" s="2" t="s">
        <v>2</v>
      </c>
    </row>
    <row r="4" customFormat="false" ht="32.8" hidden="false" customHeight="false" outlineLevel="0" collapsed="false">
      <c r="A4" s="3" t="s">
        <v>3</v>
      </c>
      <c r="B4" s="4" t="s">
        <v>4</v>
      </c>
    </row>
    <row r="5" customFormat="false" ht="32.8" hidden="false" customHeight="false" outlineLevel="0" collapsed="false">
      <c r="A5" s="3" t="s">
        <v>5</v>
      </c>
      <c r="B5" s="4" t="s">
        <v>6</v>
      </c>
    </row>
    <row r="6" customFormat="false" ht="32.8" hidden="false" customHeight="false" outlineLevel="0" collapsed="false">
      <c r="A6" s="3" t="s">
        <v>7</v>
      </c>
      <c r="B6" s="4" t="s">
        <v>8</v>
      </c>
    </row>
    <row r="7" customFormat="false" ht="17.15" hidden="false" customHeight="false" outlineLevel="0" collapsed="false">
      <c r="A7" s="3" t="s">
        <v>9</v>
      </c>
      <c r="B7" s="4" t="s">
        <v>10</v>
      </c>
    </row>
    <row r="8" customFormat="false" ht="17.15" hidden="false" customHeight="false" outlineLevel="0" collapsed="false">
      <c r="A8" s="3" t="s">
        <v>11</v>
      </c>
      <c r="B8" s="4" t="s">
        <v>12</v>
      </c>
    </row>
    <row r="9" customFormat="false" ht="17.15" hidden="false" customHeight="false" outlineLevel="0" collapsed="false">
      <c r="A9" s="3" t="s">
        <v>13</v>
      </c>
      <c r="B9" s="4" t="s">
        <v>14</v>
      </c>
    </row>
    <row r="10" customFormat="false" ht="17.15" hidden="false" customHeight="false" outlineLevel="0" collapsed="false">
      <c r="A10" s="3" t="s">
        <v>15</v>
      </c>
      <c r="B10" s="4" t="s">
        <v>16</v>
      </c>
    </row>
    <row r="11" customFormat="false" ht="17.15" hidden="false" customHeight="false" outlineLevel="0" collapsed="false">
      <c r="A11" s="3" t="s">
        <v>17</v>
      </c>
      <c r="B11" s="4" t="s">
        <v>18</v>
      </c>
    </row>
    <row r="12" customFormat="false" ht="17.15" hidden="false" customHeight="false" outlineLevel="0" collapsed="false">
      <c r="A12" s="3" t="s">
        <v>19</v>
      </c>
      <c r="B12" s="4" t="s">
        <v>20</v>
      </c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7265625" defaultRowHeight="15" zeroHeight="false" outlineLevelRow="0" outlineLevelCol="0"/>
  <cols>
    <col collapsed="false" customWidth="true" hidden="false" outlineLevel="0" max="1" min="1" style="0" width="21.98"/>
    <col collapsed="false" customWidth="true" hidden="false" outlineLevel="0" max="2" min="2" style="0" width="30.77"/>
    <col collapsed="false" customWidth="true" hidden="false" outlineLevel="0" max="3" min="3" style="0" width="41.76"/>
    <col collapsed="false" customWidth="true" hidden="false" outlineLevel="0" max="8" min="4" style="0" width="17.59"/>
  </cols>
  <sheetData>
    <row r="1" customFormat="false" ht="30" hidden="false" customHeight="true" outlineLevel="0" collapsed="false">
      <c r="A1" s="1" t="s">
        <v>21</v>
      </c>
      <c r="B1" s="1"/>
      <c r="C1" s="1"/>
      <c r="D1" s="1"/>
      <c r="E1" s="1"/>
      <c r="F1" s="1"/>
      <c r="G1" s="1"/>
      <c r="H1" s="1"/>
    </row>
    <row r="3" customFormat="false" ht="24" hidden="false" customHeight="true" outlineLevel="0" collapsed="false">
      <c r="A3" s="2" t="s">
        <v>22</v>
      </c>
      <c r="B3" s="2" t="s">
        <v>23</v>
      </c>
      <c r="C3" s="2" t="s">
        <v>24</v>
      </c>
    </row>
    <row r="4" customFormat="false" ht="32.8" hidden="false" customHeight="false" outlineLevel="0" collapsed="false">
      <c r="A4" s="5" t="s">
        <v>25</v>
      </c>
      <c r="B4" s="4"/>
      <c r="C4" s="4" t="s">
        <v>26</v>
      </c>
    </row>
    <row r="5" customFormat="false" ht="17.15" hidden="false" customHeight="false" outlineLevel="0" collapsed="false">
      <c r="A5" s="5" t="s">
        <v>27</v>
      </c>
      <c r="B5" s="4"/>
      <c r="C5" s="4" t="s">
        <v>28</v>
      </c>
    </row>
    <row r="6" customFormat="false" ht="17.15" hidden="false" customHeight="false" outlineLevel="0" collapsed="false">
      <c r="A6" s="5" t="s">
        <v>29</v>
      </c>
      <c r="B6" s="4"/>
      <c r="C6" s="4" t="s">
        <v>30</v>
      </c>
    </row>
    <row r="7" customFormat="false" ht="32.8" hidden="false" customHeight="false" outlineLevel="0" collapsed="false">
      <c r="A7" s="5" t="s">
        <v>31</v>
      </c>
      <c r="B7" s="4"/>
      <c r="C7" s="4" t="s">
        <v>32</v>
      </c>
    </row>
    <row r="8" customFormat="false" ht="32.8" hidden="false" customHeight="false" outlineLevel="0" collapsed="false">
      <c r="A8" s="5" t="s">
        <v>33</v>
      </c>
      <c r="B8" s="4"/>
      <c r="C8" s="4" t="s">
        <v>34</v>
      </c>
    </row>
    <row r="9" customFormat="false" ht="17.15" hidden="false" customHeight="false" outlineLevel="0" collapsed="false">
      <c r="A9" s="5" t="s">
        <v>35</v>
      </c>
      <c r="B9" s="4"/>
      <c r="C9" s="4" t="s">
        <v>36</v>
      </c>
    </row>
    <row r="10" customFormat="false" ht="17.15" hidden="false" customHeight="false" outlineLevel="0" collapsed="false">
      <c r="A10" s="5" t="s">
        <v>37</v>
      </c>
      <c r="B10" s="4"/>
      <c r="C10" s="4" t="s">
        <v>38</v>
      </c>
    </row>
    <row r="11" customFormat="false" ht="17.15" hidden="false" customHeight="false" outlineLevel="0" collapsed="false">
      <c r="A11" s="5" t="s">
        <v>39</v>
      </c>
      <c r="B11" s="4"/>
      <c r="C11" s="4" t="s">
        <v>40</v>
      </c>
    </row>
    <row r="14" customFormat="false" ht="24" hidden="false" customHeight="true" outlineLevel="0" collapsed="false">
      <c r="A14" s="2" t="s">
        <v>41</v>
      </c>
      <c r="B14" s="2"/>
      <c r="C14" s="2"/>
      <c r="D14" s="2"/>
      <c r="E14" s="2"/>
      <c r="F14" s="2"/>
      <c r="G14" s="2"/>
      <c r="H14" s="2"/>
    </row>
    <row r="15" customFormat="false" ht="17.15" hidden="false" customHeight="false" outlineLevel="0" collapsed="false">
      <c r="A15" s="4" t="s">
        <v>42</v>
      </c>
      <c r="B15" s="6" t="n">
        <f aca="false">COUNTIF(02_功能規劃!A5:A84,"?*")</f>
        <v>0</v>
      </c>
      <c r="C15" s="6" t="s">
        <v>43</v>
      </c>
      <c r="D15" s="6" t="n">
        <f aca="false">COUNTIF(03_模組硬體規劃!A5:A84,"?*")</f>
        <v>0</v>
      </c>
      <c r="E15" s="6" t="s">
        <v>44</v>
      </c>
      <c r="F15" s="6" t="n">
        <f aca="false">05_預算規劃!B4</f>
        <v>0</v>
      </c>
      <c r="G15" s="6" t="s">
        <v>45</v>
      </c>
      <c r="H15" s="6" t="n">
        <f aca="false">05_預算規劃!B5</f>
        <v>0</v>
      </c>
    </row>
    <row r="16" customFormat="false" ht="17.15" hidden="false" customHeight="false" outlineLevel="0" collapsed="false">
      <c r="A16" s="4" t="s">
        <v>46</v>
      </c>
      <c r="B16" s="6" t="n">
        <f aca="false">COUNTIF(04_軟體規劃!A5:A84,"?*")</f>
        <v>0</v>
      </c>
      <c r="C16" s="6" t="s">
        <v>47</v>
      </c>
      <c r="D16" s="6" t="n">
        <f aca="false">COUNTIFS(06_里程碑!A5:A44,"?*",06_里程碑!H5:H44,"&lt;&gt;已完成")</f>
        <v>0</v>
      </c>
      <c r="E16" s="6" t="s">
        <v>48</v>
      </c>
      <c r="F16" s="6" t="n">
        <f aca="false">05_預算規劃!B6</f>
        <v>0</v>
      </c>
      <c r="G16" s="6" t="s">
        <v>49</v>
      </c>
      <c r="H16" s="6" t="n">
        <f aca="false">08_重量與電力估算!B6</f>
        <v>0</v>
      </c>
    </row>
    <row r="17" customFormat="false" ht="17.15" hidden="false" customHeight="false" outlineLevel="0" collapsed="false">
      <c r="A17" s="4" t="s">
        <v>50</v>
      </c>
      <c r="B17" s="6" t="n">
        <f aca="false">COUNTIFS(07_風險與安全!A5:A64,"?*",07_風險與安全!C5:C64,"高")</f>
        <v>0</v>
      </c>
      <c r="C17" s="6" t="s">
        <v>51</v>
      </c>
      <c r="D17" s="6" t="n">
        <f aca="false">08_重量與電力估算!B15</f>
        <v>0</v>
      </c>
      <c r="E17" s="6" t="s">
        <v>52</v>
      </c>
      <c r="F17" s="6" t="n">
        <f aca="false">05_預算規劃!B8</f>
        <v>0</v>
      </c>
      <c r="G17" s="6"/>
      <c r="H17" s="6"/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4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A1" activeCellId="0" sqref="A1"/>
    </sheetView>
  </sheetViews>
  <sheetFormatPr defaultColWidth="9.47265625" defaultRowHeight="15" zeroHeight="false" outlineLevelRow="0" outlineLevelCol="0"/>
  <cols>
    <col collapsed="false" customWidth="true" hidden="false" outlineLevel="0" max="1" min="1" style="0" width="10.99"/>
    <col collapsed="false" customWidth="true" hidden="false" outlineLevel="0" max="2" min="2" style="0" width="21.98"/>
    <col collapsed="false" customWidth="true" hidden="false" outlineLevel="0" max="4" min="3" style="0" width="35.17"/>
    <col collapsed="false" customWidth="true" hidden="false" outlineLevel="0" max="8" min="5" style="0" width="21.98"/>
    <col collapsed="false" customWidth="true" hidden="false" outlineLevel="0" max="10" min="9" style="0" width="13.19"/>
    <col collapsed="false" customWidth="true" hidden="false" outlineLevel="0" max="11" min="11" style="0" width="26.38"/>
  </cols>
  <sheetData>
    <row r="1" customFormat="false" ht="30" hidden="false" customHeight="true" outlineLevel="0" collapsed="false">
      <c r="A1" s="1" t="s">
        <v>53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4" customFormat="false" ht="24" hidden="false" customHeight="true" outlineLevel="0" collapsed="false">
      <c r="A4" s="2" t="s">
        <v>54</v>
      </c>
      <c r="B4" s="2" t="s">
        <v>55</v>
      </c>
      <c r="C4" s="2" t="s">
        <v>56</v>
      </c>
      <c r="D4" s="2" t="s">
        <v>57</v>
      </c>
      <c r="E4" s="2" t="s">
        <v>58</v>
      </c>
      <c r="F4" s="2" t="s">
        <v>59</v>
      </c>
      <c r="G4" s="2" t="s">
        <v>60</v>
      </c>
      <c r="H4" s="2" t="s">
        <v>61</v>
      </c>
      <c r="I4" s="2" t="s">
        <v>62</v>
      </c>
      <c r="J4" s="2" t="s">
        <v>63</v>
      </c>
      <c r="K4" s="2" t="s">
        <v>24</v>
      </c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customFormat="false" ht="15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customFormat="false" ht="15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customFormat="false" ht="15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customFormat="false" ht="15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customFormat="false" ht="15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customFormat="false" ht="15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customFormat="false" ht="15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customFormat="false" ht="15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customFormat="false" ht="15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customFormat="false" ht="15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customFormat="false" ht="15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customFormat="false" ht="15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customFormat="false" ht="15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customFormat="false" ht="15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customFormat="false" ht="15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customFormat="false" ht="15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customFormat="false" ht="15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customFormat="false" ht="15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customFormat="false" ht="15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customFormat="false" ht="15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customFormat="false" ht="15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customFormat="false" ht="15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customFormat="false" ht="15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customFormat="false" ht="15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customFormat="false" ht="15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customFormat="false" ht="15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customFormat="false" ht="15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customFormat="false" ht="15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customFormat="false" ht="15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customFormat="false" ht="15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customFormat="false" ht="15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customFormat="false" ht="15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customFormat="false" ht="15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customFormat="false" ht="15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customFormat="false" ht="15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customFormat="false" ht="15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customFormat="false" ht="15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customFormat="false" ht="15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customFormat="false" ht="15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customFormat="false" ht="15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customFormat="false" ht="15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customFormat="false" ht="15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customFormat="false" ht="15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</sheetData>
  <mergeCells count="1">
    <mergeCell ref="A1:K1"/>
  </mergeCells>
  <dataValidations count="2">
    <dataValidation allowBlank="false" errorStyle="stop" operator="between" showDropDown="false" showErrorMessage="false" showInputMessage="false" sqref="I5:I84" type="list">
      <formula1>"高,中,低"</formula1>
      <formula2>0</formula2>
    </dataValidation>
    <dataValidation allowBlank="false" errorStyle="stop" operator="between" showDropDown="false" showErrorMessage="false" showInputMessage="false" sqref="J5:J84" type="list">
      <formula1>"未開始,規劃中,進行中,待確認,已完成,暫停,取消"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7265625" defaultRowHeight="15" zeroHeight="false" outlineLevelRow="0" outlineLevelCol="0"/>
  <cols>
    <col collapsed="false" customWidth="true" hidden="false" outlineLevel="0" max="1" min="1" style="0" width="10.99"/>
    <col collapsed="false" customWidth="true" hidden="false" outlineLevel="0" max="4" min="2" style="0" width="19.79"/>
    <col collapsed="false" customWidth="true" hidden="false" outlineLevel="0" max="6" min="5" style="0" width="9.89"/>
    <col collapsed="false" customWidth="true" hidden="false" outlineLevel="0" max="9" min="7" style="0" width="19.79"/>
    <col collapsed="false" customWidth="true" hidden="false" outlineLevel="0" max="11" min="10" style="0" width="13.19"/>
    <col collapsed="false" customWidth="true" hidden="false" outlineLevel="0" max="12" min="12" style="0" width="17.59"/>
    <col collapsed="false" customWidth="true" hidden="false" outlineLevel="0" max="13" min="13" style="0" width="26.38"/>
  </cols>
  <sheetData>
    <row r="1" customFormat="false" ht="30" hidden="false" customHeight="true" outlineLevel="0" collapsed="false">
      <c r="A1" s="1" t="s">
        <v>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4" customFormat="false" ht="24" hidden="false" customHeight="true" outlineLevel="0" collapsed="false">
      <c r="A4" s="2" t="s">
        <v>65</v>
      </c>
      <c r="B4" s="2" t="s">
        <v>66</v>
      </c>
      <c r="C4" s="2" t="s">
        <v>67</v>
      </c>
      <c r="D4" s="2" t="s">
        <v>68</v>
      </c>
      <c r="E4" s="2" t="s">
        <v>69</v>
      </c>
      <c r="F4" s="2" t="s">
        <v>70</v>
      </c>
      <c r="G4" s="2" t="s">
        <v>71</v>
      </c>
      <c r="H4" s="2" t="s">
        <v>72</v>
      </c>
      <c r="I4" s="2" t="s">
        <v>73</v>
      </c>
      <c r="J4" s="2" t="s">
        <v>74</v>
      </c>
      <c r="K4" s="2" t="s">
        <v>75</v>
      </c>
      <c r="L4" s="2" t="s">
        <v>76</v>
      </c>
      <c r="M4" s="2" t="s">
        <v>24</v>
      </c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customFormat="false" ht="15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customFormat="false" ht="15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customFormat="false" ht="15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customFormat="false" ht="15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customFormat="false" ht="15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customFormat="false" ht="15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customFormat="false" ht="15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customFormat="false" ht="15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customFormat="false" ht="15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customFormat="false" ht="15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customFormat="false" ht="15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customFormat="false" ht="15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customFormat="false" ht="15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customFormat="false" ht="15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customFormat="false" ht="15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customFormat="false" ht="15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customFormat="false" ht="15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customFormat="false" ht="15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customFormat="false" ht="15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customFormat="false" ht="15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customFormat="false" ht="15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customFormat="false" ht="15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customFormat="false" ht="15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customFormat="false" ht="15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customFormat="false" ht="15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customFormat="false" ht="15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customFormat="false" ht="15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customFormat="false" ht="15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customFormat="false" ht="15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customFormat="false" ht="15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customFormat="false" ht="15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customFormat="false" ht="15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customFormat="false" ht="15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customFormat="false" ht="15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customFormat="false" ht="15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customFormat="false" ht="15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customFormat="false" ht="15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customFormat="false" ht="15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customFormat="false" ht="15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customFormat="false" ht="15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customFormat="false" ht="15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customFormat="false" ht="15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customFormat="false" ht="15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</sheetData>
  <mergeCells count="1">
    <mergeCell ref="A1:M1"/>
  </mergeCells>
  <dataValidations count="4">
    <dataValidation allowBlank="false" errorStyle="stop" operator="between" showDropDown="false" showErrorMessage="false" showInputMessage="false" sqref="G5:G84" type="list">
      <formula1>"2S LiFePO4,5V 降壓,6V 降壓,7.4V 伺服電源,12V 馬達電源,USB,其他"</formula1>
      <formula2>0</formula2>
    </dataValidation>
    <dataValidation allowBlank="false" errorStyle="stop" operator="between" showDropDown="false" showErrorMessage="false" showInputMessage="false" sqref="H5:H84" type="list">
      <formula1>"Ethernet/ROS 2,UART,USB CDC serial,I2C,PWM,GPIO,CSI,其他"</formula1>
      <formula2>0</formula2>
    </dataValidation>
    <dataValidation allowBlank="false" errorStyle="stop" operator="between" showDropDown="false" showErrorMessage="false" showInputMessage="false" sqref="J5:J84" type="list">
      <formula1>"是,否,待確認"</formula1>
      <formula2>0</formula2>
    </dataValidation>
    <dataValidation allowBlank="false" errorStyle="stop" operator="between" showDropDown="false" showErrorMessage="false" showInputMessage="false" sqref="K5:K84" type="list">
      <formula1>"未詢價,已詢價,已購買,已到貨,不購買,替代品"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4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A1" activeCellId="0" sqref="A1"/>
    </sheetView>
  </sheetViews>
  <sheetFormatPr defaultColWidth="9.47265625" defaultRowHeight="15" zeroHeight="false" outlineLevelRow="0" outlineLevelCol="0"/>
  <cols>
    <col collapsed="false" customWidth="true" hidden="false" outlineLevel="0" max="1" min="1" style="0" width="10.99"/>
    <col collapsed="false" customWidth="true" hidden="false" outlineLevel="0" max="4" min="2" style="0" width="19.79"/>
    <col collapsed="false" customWidth="true" hidden="false" outlineLevel="0" max="8" min="5" style="0" width="24.18"/>
    <col collapsed="false" customWidth="true" hidden="false" outlineLevel="0" max="11" min="9" style="0" width="15.39"/>
    <col collapsed="false" customWidth="true" hidden="false" outlineLevel="0" max="12" min="12" style="0" width="26.38"/>
  </cols>
  <sheetData>
    <row r="1" customFormat="false" ht="30" hidden="false" customHeight="true" outlineLevel="0" collapsed="false">
      <c r="A1" s="1" t="s">
        <v>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4" customFormat="false" ht="24" hidden="false" customHeight="true" outlineLevel="0" collapsed="false">
      <c r="A4" s="2" t="s">
        <v>78</v>
      </c>
      <c r="B4" s="2" t="s">
        <v>79</v>
      </c>
      <c r="C4" s="2" t="s">
        <v>80</v>
      </c>
      <c r="D4" s="2" t="s">
        <v>81</v>
      </c>
      <c r="E4" s="2" t="s">
        <v>1</v>
      </c>
      <c r="F4" s="2" t="s">
        <v>82</v>
      </c>
      <c r="G4" s="2" t="s">
        <v>83</v>
      </c>
      <c r="H4" s="2" t="s">
        <v>84</v>
      </c>
      <c r="I4" s="2" t="s">
        <v>72</v>
      </c>
      <c r="J4" s="2" t="s">
        <v>62</v>
      </c>
      <c r="K4" s="2" t="s">
        <v>63</v>
      </c>
      <c r="L4" s="2" t="s">
        <v>24</v>
      </c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customFormat="false" ht="15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customFormat="false" ht="15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customFormat="false" ht="15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customFormat="false" ht="15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customFormat="false" ht="15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customFormat="false" ht="15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customFormat="false" ht="15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customFormat="false" ht="15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customFormat="false" ht="15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customFormat="false" ht="15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customFormat="false" ht="15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customFormat="false" ht="15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customFormat="false" ht="15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customFormat="false" ht="15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customFormat="false" ht="15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customFormat="false" ht="15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customFormat="false" ht="15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customFormat="false" ht="15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customFormat="false" ht="15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customFormat="false" ht="15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customFormat="false" ht="15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customFormat="false" ht="15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customFormat="false" ht="15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customFormat="false" ht="15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customFormat="false" ht="15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customFormat="false" ht="15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customFormat="false" ht="15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customFormat="false" ht="15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customFormat="false" ht="15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customFormat="false" ht="15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customFormat="false" ht="15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customFormat="false" ht="15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customFormat="false" ht="15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customFormat="false" ht="15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customFormat="false" ht="15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customFormat="false" ht="15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customFormat="false" ht="15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customFormat="false" ht="15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customFormat="false" ht="15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customFormat="false" ht="15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customFormat="false" ht="15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customFormat="false" ht="15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customFormat="false" ht="15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</sheetData>
  <mergeCells count="1">
    <mergeCell ref="A1:L1"/>
  </mergeCells>
  <dataValidations count="4">
    <dataValidation allowBlank="false" errorStyle="stop" operator="between" showDropDown="false" showErrorMessage="false" showInputMessage="false" sqref="B5:B84" type="list">
      <formula1>"OS,ROS 2 package,Node,Firmware,Library,Tool,Simulation,Test Script,Documentation,Other"</formula1>
      <formula2>0</formula2>
    </dataValidation>
    <dataValidation allowBlank="false" errorStyle="stop" operator="between" showDropDown="false" showErrorMessage="false" showInputMessage="false" sqref="I5:I84" type="list">
      <formula1>"Ethernet/ROS 2,UART,USB CDC serial,I2C,PWM,GPIO,CSI,其他"</formula1>
      <formula2>0</formula2>
    </dataValidation>
    <dataValidation allowBlank="false" errorStyle="stop" operator="between" showDropDown="false" showErrorMessage="false" showInputMessage="false" sqref="J5:J84" type="list">
      <formula1>"高,中,低"</formula1>
      <formula2>0</formula2>
    </dataValidation>
    <dataValidation allowBlank="false" errorStyle="stop" operator="between" showDropDown="false" showErrorMessage="false" showInputMessage="false" sqref="K5:K84" type="list">
      <formula1>"未開始,規劃中,進行中,待確認,已完成,暫停,取消"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7265625" defaultRowHeight="15" zeroHeight="false" outlineLevelRow="0" outlineLevelCol="0"/>
  <cols>
    <col collapsed="false" customWidth="true" hidden="false" outlineLevel="0" max="1" min="1" style="0" width="10.99"/>
    <col collapsed="false" customWidth="true" hidden="false" outlineLevel="0" max="2" min="2" style="0" width="15.39"/>
    <col collapsed="false" customWidth="true" hidden="false" outlineLevel="0" max="5" min="3" style="0" width="21.98"/>
    <col collapsed="false" customWidth="true" hidden="false" outlineLevel="0" max="7" min="6" style="0" width="9.89"/>
    <col collapsed="false" customWidth="true" hidden="false" outlineLevel="0" max="10" min="8" style="0" width="13.19"/>
    <col collapsed="false" customWidth="true" hidden="false" outlineLevel="0" max="11" min="11" style="0" width="24.18"/>
    <col collapsed="false" customWidth="true" hidden="false" outlineLevel="0" max="12" min="12" style="0" width="13.19"/>
    <col collapsed="false" customWidth="true" hidden="false" outlineLevel="0" max="13" min="13" style="0" width="26.38"/>
  </cols>
  <sheetData>
    <row r="1" customFormat="false" ht="30" hidden="false" customHeight="true" outlineLevel="0" collapsed="false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customFormat="false" ht="24" hidden="false" customHeight="true" outlineLevel="0" collapsed="false">
      <c r="A3" s="2" t="s">
        <v>86</v>
      </c>
      <c r="B3" s="2" t="s">
        <v>87</v>
      </c>
      <c r="C3" s="2" t="s">
        <v>88</v>
      </c>
    </row>
    <row r="4" customFormat="false" ht="17.15" hidden="false" customHeight="false" outlineLevel="0" collapsed="false">
      <c r="A4" s="5" t="s">
        <v>44</v>
      </c>
      <c r="B4" s="6" t="n">
        <f aca="false">SUM(J12:J111)</f>
        <v>0</v>
      </c>
      <c r="C4" s="4" t="s">
        <v>89</v>
      </c>
    </row>
    <row r="5" customFormat="false" ht="17.15" hidden="false" customHeight="false" outlineLevel="0" collapsed="false">
      <c r="A5" s="5" t="s">
        <v>45</v>
      </c>
      <c r="B5" s="6" t="n">
        <f aca="false">SUMIF(L12:L111,"已購買",J12:J111)+SUMIF(L12:L111,"已到貨",J12:J111)</f>
        <v>0</v>
      </c>
      <c r="C5" s="4" t="s">
        <v>90</v>
      </c>
    </row>
    <row r="6" customFormat="false" ht="17.15" hidden="false" customHeight="false" outlineLevel="0" collapsed="false">
      <c r="A6" s="5" t="s">
        <v>48</v>
      </c>
      <c r="B6" s="6" t="n">
        <f aca="false">B4-B5</f>
        <v>0</v>
      </c>
      <c r="C6" s="4" t="s">
        <v>91</v>
      </c>
    </row>
    <row r="7" customFormat="false" ht="17.15" hidden="false" customHeight="false" outlineLevel="0" collapsed="false">
      <c r="A7" s="5" t="s">
        <v>92</v>
      </c>
      <c r="B7" s="6"/>
      <c r="C7" s="4" t="s">
        <v>93</v>
      </c>
    </row>
    <row r="8" customFormat="false" ht="32.8" hidden="false" customHeight="false" outlineLevel="0" collapsed="false">
      <c r="A8" s="5" t="s">
        <v>52</v>
      </c>
      <c r="B8" s="6" t="n">
        <f aca="false">B7-B4</f>
        <v>0</v>
      </c>
      <c r="C8" s="4" t="s">
        <v>94</v>
      </c>
    </row>
    <row r="11" customFormat="false" ht="24" hidden="false" customHeight="true" outlineLevel="0" collapsed="false">
      <c r="A11" s="2" t="s">
        <v>95</v>
      </c>
      <c r="B11" s="2" t="s">
        <v>96</v>
      </c>
      <c r="C11" s="2" t="s">
        <v>97</v>
      </c>
      <c r="D11" s="2" t="s">
        <v>98</v>
      </c>
      <c r="E11" s="2" t="s">
        <v>1</v>
      </c>
      <c r="F11" s="2" t="s">
        <v>99</v>
      </c>
      <c r="G11" s="2" t="s">
        <v>70</v>
      </c>
      <c r="H11" s="2" t="s">
        <v>100</v>
      </c>
      <c r="I11" s="2" t="s">
        <v>101</v>
      </c>
      <c r="J11" s="2" t="s">
        <v>102</v>
      </c>
      <c r="K11" s="2" t="s">
        <v>103</v>
      </c>
      <c r="L11" s="2" t="s">
        <v>75</v>
      </c>
      <c r="M11" s="2" t="s">
        <v>24</v>
      </c>
    </row>
    <row r="12" customFormat="false" ht="15" hidden="false" customHeight="false" outlineLevel="0" collapsed="false">
      <c r="A12" s="4"/>
      <c r="B12" s="4"/>
      <c r="C12" s="4"/>
      <c r="D12" s="4"/>
      <c r="E12" s="4"/>
      <c r="F12" s="7"/>
      <c r="G12" s="4"/>
      <c r="H12" s="6"/>
      <c r="I12" s="6"/>
      <c r="J12" s="6" t="str">
        <f aca="false">IF(OR(F12="",H12=""),"",F12*H12+IF(I12="",0,I12))</f>
        <v/>
      </c>
      <c r="K12" s="4"/>
      <c r="L12" s="4"/>
      <c r="M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7"/>
      <c r="G13" s="4"/>
      <c r="H13" s="6"/>
      <c r="I13" s="6"/>
      <c r="J13" s="6" t="str">
        <f aca="false">IF(OR(F13="",H13=""),"",F13*H13+IF(I13="",0,I13))</f>
        <v/>
      </c>
      <c r="K13" s="4"/>
      <c r="L13" s="4"/>
      <c r="M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7"/>
      <c r="G14" s="4"/>
      <c r="H14" s="6"/>
      <c r="I14" s="6"/>
      <c r="J14" s="6" t="str">
        <f aca="false">IF(OR(F14="",H14=""),"",F14*H14+IF(I14="",0,I14))</f>
        <v/>
      </c>
      <c r="K14" s="4"/>
      <c r="L14" s="4"/>
      <c r="M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7"/>
      <c r="G15" s="4"/>
      <c r="H15" s="6"/>
      <c r="I15" s="6"/>
      <c r="J15" s="6" t="str">
        <f aca="false">IF(OR(F15="",H15=""),"",F15*H15+IF(I15="",0,I15))</f>
        <v/>
      </c>
      <c r="K15" s="4"/>
      <c r="L15" s="4"/>
      <c r="M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7"/>
      <c r="G16" s="4"/>
      <c r="H16" s="6"/>
      <c r="I16" s="6"/>
      <c r="J16" s="6" t="str">
        <f aca="false">IF(OR(F16="",H16=""),"",F16*H16+IF(I16="",0,I16))</f>
        <v/>
      </c>
      <c r="K16" s="4"/>
      <c r="L16" s="4"/>
      <c r="M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7"/>
      <c r="G17" s="4"/>
      <c r="H17" s="6"/>
      <c r="I17" s="6"/>
      <c r="J17" s="6" t="str">
        <f aca="false">IF(OR(F17="",H17=""),"",F17*H17+IF(I17="",0,I17))</f>
        <v/>
      </c>
      <c r="K17" s="4"/>
      <c r="L17" s="4"/>
      <c r="M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7"/>
      <c r="G18" s="4"/>
      <c r="H18" s="6"/>
      <c r="I18" s="6"/>
      <c r="J18" s="6" t="str">
        <f aca="false">IF(OR(F18="",H18=""),"",F18*H18+IF(I18="",0,I18))</f>
        <v/>
      </c>
      <c r="K18" s="4"/>
      <c r="L18" s="4"/>
      <c r="M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7"/>
      <c r="G19" s="4"/>
      <c r="H19" s="6"/>
      <c r="I19" s="6"/>
      <c r="J19" s="6" t="str">
        <f aca="false">IF(OR(F19="",H19=""),"",F19*H19+IF(I19="",0,I19))</f>
        <v/>
      </c>
      <c r="K19" s="4"/>
      <c r="L19" s="4"/>
      <c r="M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7"/>
      <c r="G20" s="4"/>
      <c r="H20" s="6"/>
      <c r="I20" s="6"/>
      <c r="J20" s="6" t="str">
        <f aca="false">IF(OR(F20="",H20=""),"",F20*H20+IF(I20="",0,I20))</f>
        <v/>
      </c>
      <c r="K20" s="4"/>
      <c r="L20" s="4"/>
      <c r="M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7"/>
      <c r="G21" s="4"/>
      <c r="H21" s="6"/>
      <c r="I21" s="6"/>
      <c r="J21" s="6" t="str">
        <f aca="false">IF(OR(F21="",H21=""),"",F21*H21+IF(I21="",0,I21))</f>
        <v/>
      </c>
      <c r="K21" s="4"/>
      <c r="L21" s="4"/>
      <c r="M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7"/>
      <c r="G22" s="4"/>
      <c r="H22" s="6"/>
      <c r="I22" s="6"/>
      <c r="J22" s="6" t="str">
        <f aca="false">IF(OR(F22="",H22=""),"",F22*H22+IF(I22="",0,I22))</f>
        <v/>
      </c>
      <c r="K22" s="4"/>
      <c r="L22" s="4"/>
      <c r="M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7"/>
      <c r="G23" s="4"/>
      <c r="H23" s="6"/>
      <c r="I23" s="6"/>
      <c r="J23" s="6" t="str">
        <f aca="false">IF(OR(F23="",H23=""),"",F23*H23+IF(I23="",0,I23))</f>
        <v/>
      </c>
      <c r="K23" s="4"/>
      <c r="L23" s="4"/>
      <c r="M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7"/>
      <c r="G24" s="4"/>
      <c r="H24" s="6"/>
      <c r="I24" s="6"/>
      <c r="J24" s="6" t="str">
        <f aca="false">IF(OR(F24="",H24=""),"",F24*H24+IF(I24="",0,I24))</f>
        <v/>
      </c>
      <c r="K24" s="4"/>
      <c r="L24" s="4"/>
      <c r="M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7"/>
      <c r="G25" s="4"/>
      <c r="H25" s="6"/>
      <c r="I25" s="6"/>
      <c r="J25" s="6" t="str">
        <f aca="false">IF(OR(F25="",H25=""),"",F25*H25+IF(I25="",0,I25))</f>
        <v/>
      </c>
      <c r="K25" s="4"/>
      <c r="L25" s="4"/>
      <c r="M25" s="4"/>
    </row>
    <row r="26" customFormat="false" ht="15" hidden="false" customHeight="false" outlineLevel="0" collapsed="false">
      <c r="A26" s="4"/>
      <c r="B26" s="4"/>
      <c r="C26" s="4"/>
      <c r="D26" s="4"/>
      <c r="E26" s="4"/>
      <c r="F26" s="7"/>
      <c r="G26" s="4"/>
      <c r="H26" s="6"/>
      <c r="I26" s="6"/>
      <c r="J26" s="6" t="str">
        <f aca="false">IF(OR(F26="",H26=""),"",F26*H26+IF(I26="",0,I26))</f>
        <v/>
      </c>
      <c r="K26" s="4"/>
      <c r="L26" s="4"/>
      <c r="M26" s="4"/>
    </row>
    <row r="27" customFormat="false" ht="15" hidden="false" customHeight="false" outlineLevel="0" collapsed="false">
      <c r="A27" s="4"/>
      <c r="B27" s="4"/>
      <c r="C27" s="4"/>
      <c r="D27" s="4"/>
      <c r="E27" s="4"/>
      <c r="F27" s="7"/>
      <c r="G27" s="4"/>
      <c r="H27" s="6"/>
      <c r="I27" s="6"/>
      <c r="J27" s="6" t="str">
        <f aca="false">IF(OR(F27="",H27=""),"",F27*H27+IF(I27="",0,I27))</f>
        <v/>
      </c>
      <c r="K27" s="4"/>
      <c r="L27" s="4"/>
      <c r="M27" s="4"/>
    </row>
    <row r="28" customFormat="false" ht="15" hidden="false" customHeight="false" outlineLevel="0" collapsed="false">
      <c r="A28" s="4"/>
      <c r="B28" s="4"/>
      <c r="C28" s="4"/>
      <c r="D28" s="4"/>
      <c r="E28" s="4"/>
      <c r="F28" s="7"/>
      <c r="G28" s="4"/>
      <c r="H28" s="6"/>
      <c r="I28" s="6"/>
      <c r="J28" s="6" t="str">
        <f aca="false">IF(OR(F28="",H28=""),"",F28*H28+IF(I28="",0,I28))</f>
        <v/>
      </c>
      <c r="K28" s="4"/>
      <c r="L28" s="4"/>
      <c r="M28" s="4"/>
    </row>
    <row r="29" customFormat="false" ht="15" hidden="false" customHeight="false" outlineLevel="0" collapsed="false">
      <c r="A29" s="4"/>
      <c r="B29" s="4"/>
      <c r="C29" s="4"/>
      <c r="D29" s="4"/>
      <c r="E29" s="4"/>
      <c r="F29" s="7"/>
      <c r="G29" s="4"/>
      <c r="H29" s="6"/>
      <c r="I29" s="6"/>
      <c r="J29" s="6" t="str">
        <f aca="false">IF(OR(F29="",H29=""),"",F29*H29+IF(I29="",0,I29))</f>
        <v/>
      </c>
      <c r="K29" s="4"/>
      <c r="L29" s="4"/>
      <c r="M29" s="4"/>
    </row>
    <row r="30" customFormat="false" ht="15" hidden="false" customHeight="false" outlineLevel="0" collapsed="false">
      <c r="A30" s="4"/>
      <c r="B30" s="4"/>
      <c r="C30" s="4"/>
      <c r="D30" s="4"/>
      <c r="E30" s="4"/>
      <c r="F30" s="7"/>
      <c r="G30" s="4"/>
      <c r="H30" s="6"/>
      <c r="I30" s="6"/>
      <c r="J30" s="6" t="str">
        <f aca="false">IF(OR(F30="",H30=""),"",F30*H30+IF(I30="",0,I30))</f>
        <v/>
      </c>
      <c r="K30" s="4"/>
      <c r="L30" s="4"/>
      <c r="M30" s="4"/>
    </row>
    <row r="31" customFormat="false" ht="15" hidden="false" customHeight="false" outlineLevel="0" collapsed="false">
      <c r="A31" s="4"/>
      <c r="B31" s="4"/>
      <c r="C31" s="4"/>
      <c r="D31" s="4"/>
      <c r="E31" s="4"/>
      <c r="F31" s="7"/>
      <c r="G31" s="4"/>
      <c r="H31" s="6"/>
      <c r="I31" s="6"/>
      <c r="J31" s="6" t="str">
        <f aca="false">IF(OR(F31="",H31=""),"",F31*H31+IF(I31="",0,I31))</f>
        <v/>
      </c>
      <c r="K31" s="4"/>
      <c r="L31" s="4"/>
      <c r="M31" s="4"/>
    </row>
    <row r="32" customFormat="false" ht="15" hidden="false" customHeight="false" outlineLevel="0" collapsed="false">
      <c r="A32" s="4"/>
      <c r="B32" s="4"/>
      <c r="C32" s="4"/>
      <c r="D32" s="4"/>
      <c r="E32" s="4"/>
      <c r="F32" s="7"/>
      <c r="G32" s="4"/>
      <c r="H32" s="6"/>
      <c r="I32" s="6"/>
      <c r="J32" s="6" t="str">
        <f aca="false">IF(OR(F32="",H32=""),"",F32*H32+IF(I32="",0,I32))</f>
        <v/>
      </c>
      <c r="K32" s="4"/>
      <c r="L32" s="4"/>
      <c r="M32" s="4"/>
    </row>
    <row r="33" customFormat="false" ht="15" hidden="false" customHeight="false" outlineLevel="0" collapsed="false">
      <c r="A33" s="4"/>
      <c r="B33" s="4"/>
      <c r="C33" s="4"/>
      <c r="D33" s="4"/>
      <c r="E33" s="4"/>
      <c r="F33" s="7"/>
      <c r="G33" s="4"/>
      <c r="H33" s="6"/>
      <c r="I33" s="6"/>
      <c r="J33" s="6" t="str">
        <f aca="false">IF(OR(F33="",H33=""),"",F33*H33+IF(I33="",0,I33))</f>
        <v/>
      </c>
      <c r="K33" s="4"/>
      <c r="L33" s="4"/>
      <c r="M33" s="4"/>
    </row>
    <row r="34" customFormat="false" ht="15" hidden="false" customHeight="false" outlineLevel="0" collapsed="false">
      <c r="A34" s="4"/>
      <c r="B34" s="4"/>
      <c r="C34" s="4"/>
      <c r="D34" s="4"/>
      <c r="E34" s="4"/>
      <c r="F34" s="7"/>
      <c r="G34" s="4"/>
      <c r="H34" s="6"/>
      <c r="I34" s="6"/>
      <c r="J34" s="6" t="str">
        <f aca="false">IF(OR(F34="",H34=""),"",F34*H34+IF(I34="",0,I34))</f>
        <v/>
      </c>
      <c r="K34" s="4"/>
      <c r="L34" s="4"/>
      <c r="M34" s="4"/>
    </row>
    <row r="35" customFormat="false" ht="15" hidden="false" customHeight="false" outlineLevel="0" collapsed="false">
      <c r="A35" s="4"/>
      <c r="B35" s="4"/>
      <c r="C35" s="4"/>
      <c r="D35" s="4"/>
      <c r="E35" s="4"/>
      <c r="F35" s="7"/>
      <c r="G35" s="4"/>
      <c r="H35" s="6"/>
      <c r="I35" s="6"/>
      <c r="J35" s="6" t="str">
        <f aca="false">IF(OR(F35="",H35=""),"",F35*H35+IF(I35="",0,I35))</f>
        <v/>
      </c>
      <c r="K35" s="4"/>
      <c r="L35" s="4"/>
      <c r="M35" s="4"/>
    </row>
    <row r="36" customFormat="false" ht="15" hidden="false" customHeight="false" outlineLevel="0" collapsed="false">
      <c r="A36" s="4"/>
      <c r="B36" s="4"/>
      <c r="C36" s="4"/>
      <c r="D36" s="4"/>
      <c r="E36" s="4"/>
      <c r="F36" s="7"/>
      <c r="G36" s="4"/>
      <c r="H36" s="6"/>
      <c r="I36" s="6"/>
      <c r="J36" s="6" t="str">
        <f aca="false">IF(OR(F36="",H36=""),"",F36*H36+IF(I36="",0,I36))</f>
        <v/>
      </c>
      <c r="K36" s="4"/>
      <c r="L36" s="4"/>
      <c r="M36" s="4"/>
    </row>
    <row r="37" customFormat="false" ht="15" hidden="false" customHeight="false" outlineLevel="0" collapsed="false">
      <c r="A37" s="4"/>
      <c r="B37" s="4"/>
      <c r="C37" s="4"/>
      <c r="D37" s="4"/>
      <c r="E37" s="4"/>
      <c r="F37" s="7"/>
      <c r="G37" s="4"/>
      <c r="H37" s="6"/>
      <c r="I37" s="6"/>
      <c r="J37" s="6" t="str">
        <f aca="false">IF(OR(F37="",H37=""),"",F37*H37+IF(I37="",0,I37))</f>
        <v/>
      </c>
      <c r="K37" s="4"/>
      <c r="L37" s="4"/>
      <c r="M37" s="4"/>
    </row>
    <row r="38" customFormat="false" ht="15" hidden="false" customHeight="false" outlineLevel="0" collapsed="false">
      <c r="A38" s="4"/>
      <c r="B38" s="4"/>
      <c r="C38" s="4"/>
      <c r="D38" s="4"/>
      <c r="E38" s="4"/>
      <c r="F38" s="7"/>
      <c r="G38" s="4"/>
      <c r="H38" s="6"/>
      <c r="I38" s="6"/>
      <c r="J38" s="6" t="str">
        <f aca="false">IF(OR(F38="",H38=""),"",F38*H38+IF(I38="",0,I38))</f>
        <v/>
      </c>
      <c r="K38" s="4"/>
      <c r="L38" s="4"/>
      <c r="M38" s="4"/>
    </row>
    <row r="39" customFormat="false" ht="15" hidden="false" customHeight="false" outlineLevel="0" collapsed="false">
      <c r="A39" s="4"/>
      <c r="B39" s="4"/>
      <c r="C39" s="4"/>
      <c r="D39" s="4"/>
      <c r="E39" s="4"/>
      <c r="F39" s="7"/>
      <c r="G39" s="4"/>
      <c r="H39" s="6"/>
      <c r="I39" s="6"/>
      <c r="J39" s="6" t="str">
        <f aca="false">IF(OR(F39="",H39=""),"",F39*H39+IF(I39="",0,I39))</f>
        <v/>
      </c>
      <c r="K39" s="4"/>
      <c r="L39" s="4"/>
      <c r="M39" s="4"/>
    </row>
    <row r="40" customFormat="false" ht="15" hidden="false" customHeight="false" outlineLevel="0" collapsed="false">
      <c r="A40" s="4"/>
      <c r="B40" s="4"/>
      <c r="C40" s="4"/>
      <c r="D40" s="4"/>
      <c r="E40" s="4"/>
      <c r="F40" s="7"/>
      <c r="G40" s="4"/>
      <c r="H40" s="6"/>
      <c r="I40" s="6"/>
      <c r="J40" s="6" t="str">
        <f aca="false">IF(OR(F40="",H40=""),"",F40*H40+IF(I40="",0,I40))</f>
        <v/>
      </c>
      <c r="K40" s="4"/>
      <c r="L40" s="4"/>
      <c r="M40" s="4"/>
    </row>
    <row r="41" customFormat="false" ht="15" hidden="false" customHeight="false" outlineLevel="0" collapsed="false">
      <c r="A41" s="4"/>
      <c r="B41" s="4"/>
      <c r="C41" s="4"/>
      <c r="D41" s="4"/>
      <c r="E41" s="4"/>
      <c r="F41" s="7"/>
      <c r="G41" s="4"/>
      <c r="H41" s="6"/>
      <c r="I41" s="6"/>
      <c r="J41" s="6" t="str">
        <f aca="false">IF(OR(F41="",H41=""),"",F41*H41+IF(I41="",0,I41))</f>
        <v/>
      </c>
      <c r="K41" s="4"/>
      <c r="L41" s="4"/>
      <c r="M41" s="4"/>
    </row>
    <row r="42" customFormat="false" ht="15" hidden="false" customHeight="false" outlineLevel="0" collapsed="false">
      <c r="A42" s="4"/>
      <c r="B42" s="4"/>
      <c r="C42" s="4"/>
      <c r="D42" s="4"/>
      <c r="E42" s="4"/>
      <c r="F42" s="7"/>
      <c r="G42" s="4"/>
      <c r="H42" s="6"/>
      <c r="I42" s="6"/>
      <c r="J42" s="6" t="str">
        <f aca="false">IF(OR(F42="",H42=""),"",F42*H42+IF(I42="",0,I42))</f>
        <v/>
      </c>
      <c r="K42" s="4"/>
      <c r="L42" s="4"/>
      <c r="M42" s="4"/>
    </row>
    <row r="43" customFormat="false" ht="15" hidden="false" customHeight="false" outlineLevel="0" collapsed="false">
      <c r="A43" s="4"/>
      <c r="B43" s="4"/>
      <c r="C43" s="4"/>
      <c r="D43" s="4"/>
      <c r="E43" s="4"/>
      <c r="F43" s="7"/>
      <c r="G43" s="4"/>
      <c r="H43" s="6"/>
      <c r="I43" s="6"/>
      <c r="J43" s="6" t="str">
        <f aca="false">IF(OR(F43="",H43=""),"",F43*H43+IF(I43="",0,I43))</f>
        <v/>
      </c>
      <c r="K43" s="4"/>
      <c r="L43" s="4"/>
      <c r="M43" s="4"/>
    </row>
    <row r="44" customFormat="false" ht="15" hidden="false" customHeight="false" outlineLevel="0" collapsed="false">
      <c r="A44" s="4"/>
      <c r="B44" s="4"/>
      <c r="C44" s="4"/>
      <c r="D44" s="4"/>
      <c r="E44" s="4"/>
      <c r="F44" s="7"/>
      <c r="G44" s="4"/>
      <c r="H44" s="6"/>
      <c r="I44" s="6"/>
      <c r="J44" s="6" t="str">
        <f aca="false">IF(OR(F44="",H44=""),"",F44*H44+IF(I44="",0,I44))</f>
        <v/>
      </c>
      <c r="K44" s="4"/>
      <c r="L44" s="4"/>
      <c r="M44" s="4"/>
    </row>
    <row r="45" customFormat="false" ht="15" hidden="false" customHeight="false" outlineLevel="0" collapsed="false">
      <c r="A45" s="4"/>
      <c r="B45" s="4"/>
      <c r="C45" s="4"/>
      <c r="D45" s="4"/>
      <c r="E45" s="4"/>
      <c r="F45" s="7"/>
      <c r="G45" s="4"/>
      <c r="H45" s="6"/>
      <c r="I45" s="6"/>
      <c r="J45" s="6" t="str">
        <f aca="false">IF(OR(F45="",H45=""),"",F45*H45+IF(I45="",0,I45))</f>
        <v/>
      </c>
      <c r="K45" s="4"/>
      <c r="L45" s="4"/>
      <c r="M45" s="4"/>
    </row>
    <row r="46" customFormat="false" ht="15" hidden="false" customHeight="false" outlineLevel="0" collapsed="false">
      <c r="A46" s="4"/>
      <c r="B46" s="4"/>
      <c r="C46" s="4"/>
      <c r="D46" s="4"/>
      <c r="E46" s="4"/>
      <c r="F46" s="7"/>
      <c r="G46" s="4"/>
      <c r="H46" s="6"/>
      <c r="I46" s="6"/>
      <c r="J46" s="6" t="str">
        <f aca="false">IF(OR(F46="",H46=""),"",F46*H46+IF(I46="",0,I46))</f>
        <v/>
      </c>
      <c r="K46" s="4"/>
      <c r="L46" s="4"/>
      <c r="M46" s="4"/>
    </row>
    <row r="47" customFormat="false" ht="15" hidden="false" customHeight="false" outlineLevel="0" collapsed="false">
      <c r="A47" s="4"/>
      <c r="B47" s="4"/>
      <c r="C47" s="4"/>
      <c r="D47" s="4"/>
      <c r="E47" s="4"/>
      <c r="F47" s="7"/>
      <c r="G47" s="4"/>
      <c r="H47" s="6"/>
      <c r="I47" s="6"/>
      <c r="J47" s="6" t="str">
        <f aca="false">IF(OR(F47="",H47=""),"",F47*H47+IF(I47="",0,I47))</f>
        <v/>
      </c>
      <c r="K47" s="4"/>
      <c r="L47" s="4"/>
      <c r="M47" s="4"/>
    </row>
    <row r="48" customFormat="false" ht="15" hidden="false" customHeight="false" outlineLevel="0" collapsed="false">
      <c r="A48" s="4"/>
      <c r="B48" s="4"/>
      <c r="C48" s="4"/>
      <c r="D48" s="4"/>
      <c r="E48" s="4"/>
      <c r="F48" s="7"/>
      <c r="G48" s="4"/>
      <c r="H48" s="6"/>
      <c r="I48" s="6"/>
      <c r="J48" s="6" t="str">
        <f aca="false">IF(OR(F48="",H48=""),"",F48*H48+IF(I48="",0,I48))</f>
        <v/>
      </c>
      <c r="K48" s="4"/>
      <c r="L48" s="4"/>
      <c r="M48" s="4"/>
    </row>
    <row r="49" customFormat="false" ht="15" hidden="false" customHeight="false" outlineLevel="0" collapsed="false">
      <c r="A49" s="4"/>
      <c r="B49" s="4"/>
      <c r="C49" s="4"/>
      <c r="D49" s="4"/>
      <c r="E49" s="4"/>
      <c r="F49" s="7"/>
      <c r="G49" s="4"/>
      <c r="H49" s="6"/>
      <c r="I49" s="6"/>
      <c r="J49" s="6" t="str">
        <f aca="false">IF(OR(F49="",H49=""),"",F49*H49+IF(I49="",0,I49))</f>
        <v/>
      </c>
      <c r="K49" s="4"/>
      <c r="L49" s="4"/>
      <c r="M49" s="4"/>
    </row>
    <row r="50" customFormat="false" ht="15" hidden="false" customHeight="false" outlineLevel="0" collapsed="false">
      <c r="A50" s="4"/>
      <c r="B50" s="4"/>
      <c r="C50" s="4"/>
      <c r="D50" s="4"/>
      <c r="E50" s="4"/>
      <c r="F50" s="7"/>
      <c r="G50" s="4"/>
      <c r="H50" s="6"/>
      <c r="I50" s="6"/>
      <c r="J50" s="6" t="str">
        <f aca="false">IF(OR(F50="",H50=""),"",F50*H50+IF(I50="",0,I50))</f>
        <v/>
      </c>
      <c r="K50" s="4"/>
      <c r="L50" s="4"/>
      <c r="M50" s="4"/>
    </row>
    <row r="51" customFormat="false" ht="15" hidden="false" customHeight="false" outlineLevel="0" collapsed="false">
      <c r="A51" s="4"/>
      <c r="B51" s="4"/>
      <c r="C51" s="4"/>
      <c r="D51" s="4"/>
      <c r="E51" s="4"/>
      <c r="F51" s="7"/>
      <c r="G51" s="4"/>
      <c r="H51" s="6"/>
      <c r="I51" s="6"/>
      <c r="J51" s="6" t="str">
        <f aca="false">IF(OR(F51="",H51=""),"",F51*H51+IF(I51="",0,I51))</f>
        <v/>
      </c>
      <c r="K51" s="4"/>
      <c r="L51" s="4"/>
      <c r="M51" s="4"/>
    </row>
    <row r="52" customFormat="false" ht="15" hidden="false" customHeight="false" outlineLevel="0" collapsed="false">
      <c r="A52" s="4"/>
      <c r="B52" s="4"/>
      <c r="C52" s="4"/>
      <c r="D52" s="4"/>
      <c r="E52" s="4"/>
      <c r="F52" s="7"/>
      <c r="G52" s="4"/>
      <c r="H52" s="6"/>
      <c r="I52" s="6"/>
      <c r="J52" s="6" t="str">
        <f aca="false">IF(OR(F52="",H52=""),"",F52*H52+IF(I52="",0,I52))</f>
        <v/>
      </c>
      <c r="K52" s="4"/>
      <c r="L52" s="4"/>
      <c r="M52" s="4"/>
    </row>
    <row r="53" customFormat="false" ht="15" hidden="false" customHeight="false" outlineLevel="0" collapsed="false">
      <c r="A53" s="4"/>
      <c r="B53" s="4"/>
      <c r="C53" s="4"/>
      <c r="D53" s="4"/>
      <c r="E53" s="4"/>
      <c r="F53" s="7"/>
      <c r="G53" s="4"/>
      <c r="H53" s="6"/>
      <c r="I53" s="6"/>
      <c r="J53" s="6" t="str">
        <f aca="false">IF(OR(F53="",H53=""),"",F53*H53+IF(I53="",0,I53))</f>
        <v/>
      </c>
      <c r="K53" s="4"/>
      <c r="L53" s="4"/>
      <c r="M53" s="4"/>
    </row>
    <row r="54" customFormat="false" ht="15" hidden="false" customHeight="false" outlineLevel="0" collapsed="false">
      <c r="A54" s="4"/>
      <c r="B54" s="4"/>
      <c r="C54" s="4"/>
      <c r="D54" s="4"/>
      <c r="E54" s="4"/>
      <c r="F54" s="7"/>
      <c r="G54" s="4"/>
      <c r="H54" s="6"/>
      <c r="I54" s="6"/>
      <c r="J54" s="6" t="str">
        <f aca="false">IF(OR(F54="",H54=""),"",F54*H54+IF(I54="",0,I54))</f>
        <v/>
      </c>
      <c r="K54" s="4"/>
      <c r="L54" s="4"/>
      <c r="M54" s="4"/>
    </row>
    <row r="55" customFormat="false" ht="15" hidden="false" customHeight="false" outlineLevel="0" collapsed="false">
      <c r="A55" s="4"/>
      <c r="B55" s="4"/>
      <c r="C55" s="4"/>
      <c r="D55" s="4"/>
      <c r="E55" s="4"/>
      <c r="F55" s="7"/>
      <c r="G55" s="4"/>
      <c r="H55" s="6"/>
      <c r="I55" s="6"/>
      <c r="J55" s="6" t="str">
        <f aca="false">IF(OR(F55="",H55=""),"",F55*H55+IF(I55="",0,I55))</f>
        <v/>
      </c>
      <c r="K55" s="4"/>
      <c r="L55" s="4"/>
      <c r="M55" s="4"/>
    </row>
    <row r="56" customFormat="false" ht="15" hidden="false" customHeight="false" outlineLevel="0" collapsed="false">
      <c r="A56" s="4"/>
      <c r="B56" s="4"/>
      <c r="C56" s="4"/>
      <c r="D56" s="4"/>
      <c r="E56" s="4"/>
      <c r="F56" s="7"/>
      <c r="G56" s="4"/>
      <c r="H56" s="6"/>
      <c r="I56" s="6"/>
      <c r="J56" s="6" t="str">
        <f aca="false">IF(OR(F56="",H56=""),"",F56*H56+IF(I56="",0,I56))</f>
        <v/>
      </c>
      <c r="K56" s="4"/>
      <c r="L56" s="4"/>
      <c r="M56" s="4"/>
    </row>
    <row r="57" customFormat="false" ht="15" hidden="false" customHeight="false" outlineLevel="0" collapsed="false">
      <c r="A57" s="4"/>
      <c r="B57" s="4"/>
      <c r="C57" s="4"/>
      <c r="D57" s="4"/>
      <c r="E57" s="4"/>
      <c r="F57" s="7"/>
      <c r="G57" s="4"/>
      <c r="H57" s="6"/>
      <c r="I57" s="6"/>
      <c r="J57" s="6" t="str">
        <f aca="false">IF(OR(F57="",H57=""),"",F57*H57+IF(I57="",0,I57))</f>
        <v/>
      </c>
      <c r="K57" s="4"/>
      <c r="L57" s="4"/>
      <c r="M57" s="4"/>
    </row>
    <row r="58" customFormat="false" ht="15" hidden="false" customHeight="false" outlineLevel="0" collapsed="false">
      <c r="A58" s="4"/>
      <c r="B58" s="4"/>
      <c r="C58" s="4"/>
      <c r="D58" s="4"/>
      <c r="E58" s="4"/>
      <c r="F58" s="7"/>
      <c r="G58" s="4"/>
      <c r="H58" s="6"/>
      <c r="I58" s="6"/>
      <c r="J58" s="6" t="str">
        <f aca="false">IF(OR(F58="",H58=""),"",F58*H58+IF(I58="",0,I58))</f>
        <v/>
      </c>
      <c r="K58" s="4"/>
      <c r="L58" s="4"/>
      <c r="M58" s="4"/>
    </row>
    <row r="59" customFormat="false" ht="15" hidden="false" customHeight="false" outlineLevel="0" collapsed="false">
      <c r="A59" s="4"/>
      <c r="B59" s="4"/>
      <c r="C59" s="4"/>
      <c r="D59" s="4"/>
      <c r="E59" s="4"/>
      <c r="F59" s="7"/>
      <c r="G59" s="4"/>
      <c r="H59" s="6"/>
      <c r="I59" s="6"/>
      <c r="J59" s="6" t="str">
        <f aca="false">IF(OR(F59="",H59=""),"",F59*H59+IF(I59="",0,I59))</f>
        <v/>
      </c>
      <c r="K59" s="4"/>
      <c r="L59" s="4"/>
      <c r="M59" s="4"/>
    </row>
    <row r="60" customFormat="false" ht="15" hidden="false" customHeight="false" outlineLevel="0" collapsed="false">
      <c r="A60" s="4"/>
      <c r="B60" s="4"/>
      <c r="C60" s="4"/>
      <c r="D60" s="4"/>
      <c r="E60" s="4"/>
      <c r="F60" s="7"/>
      <c r="G60" s="4"/>
      <c r="H60" s="6"/>
      <c r="I60" s="6"/>
      <c r="J60" s="6" t="str">
        <f aca="false">IF(OR(F60="",H60=""),"",F60*H60+IF(I60="",0,I60))</f>
        <v/>
      </c>
      <c r="K60" s="4"/>
      <c r="L60" s="4"/>
      <c r="M60" s="4"/>
    </row>
    <row r="61" customFormat="false" ht="15" hidden="false" customHeight="false" outlineLevel="0" collapsed="false">
      <c r="A61" s="4"/>
      <c r="B61" s="4"/>
      <c r="C61" s="4"/>
      <c r="D61" s="4"/>
      <c r="E61" s="4"/>
      <c r="F61" s="7"/>
      <c r="G61" s="4"/>
      <c r="H61" s="6"/>
      <c r="I61" s="6"/>
      <c r="J61" s="6" t="str">
        <f aca="false">IF(OR(F61="",H61=""),"",F61*H61+IF(I61="",0,I61))</f>
        <v/>
      </c>
      <c r="K61" s="4"/>
      <c r="L61" s="4"/>
      <c r="M61" s="4"/>
    </row>
    <row r="62" customFormat="false" ht="15" hidden="false" customHeight="false" outlineLevel="0" collapsed="false">
      <c r="A62" s="4"/>
      <c r="B62" s="4"/>
      <c r="C62" s="4"/>
      <c r="D62" s="4"/>
      <c r="E62" s="4"/>
      <c r="F62" s="7"/>
      <c r="G62" s="4"/>
      <c r="H62" s="6"/>
      <c r="I62" s="6"/>
      <c r="J62" s="6" t="str">
        <f aca="false">IF(OR(F62="",H62=""),"",F62*H62+IF(I62="",0,I62))</f>
        <v/>
      </c>
      <c r="K62" s="4"/>
      <c r="L62" s="4"/>
      <c r="M62" s="4"/>
    </row>
    <row r="63" customFormat="false" ht="15" hidden="false" customHeight="false" outlineLevel="0" collapsed="false">
      <c r="A63" s="4"/>
      <c r="B63" s="4"/>
      <c r="C63" s="4"/>
      <c r="D63" s="4"/>
      <c r="E63" s="4"/>
      <c r="F63" s="7"/>
      <c r="G63" s="4"/>
      <c r="H63" s="6"/>
      <c r="I63" s="6"/>
      <c r="J63" s="6" t="str">
        <f aca="false">IF(OR(F63="",H63=""),"",F63*H63+IF(I63="",0,I63))</f>
        <v/>
      </c>
      <c r="K63" s="4"/>
      <c r="L63" s="4"/>
      <c r="M63" s="4"/>
    </row>
    <row r="64" customFormat="false" ht="15" hidden="false" customHeight="false" outlineLevel="0" collapsed="false">
      <c r="A64" s="4"/>
      <c r="B64" s="4"/>
      <c r="C64" s="4"/>
      <c r="D64" s="4"/>
      <c r="E64" s="4"/>
      <c r="F64" s="7"/>
      <c r="G64" s="4"/>
      <c r="H64" s="6"/>
      <c r="I64" s="6"/>
      <c r="J64" s="6" t="str">
        <f aca="false">IF(OR(F64="",H64=""),"",F64*H64+IF(I64="",0,I64))</f>
        <v/>
      </c>
      <c r="K64" s="4"/>
      <c r="L64" s="4"/>
      <c r="M64" s="4"/>
    </row>
    <row r="65" customFormat="false" ht="15" hidden="false" customHeight="false" outlineLevel="0" collapsed="false">
      <c r="A65" s="4"/>
      <c r="B65" s="4"/>
      <c r="C65" s="4"/>
      <c r="D65" s="4"/>
      <c r="E65" s="4"/>
      <c r="F65" s="7"/>
      <c r="G65" s="4"/>
      <c r="H65" s="6"/>
      <c r="I65" s="6"/>
      <c r="J65" s="6" t="str">
        <f aca="false">IF(OR(F65="",H65=""),"",F65*H65+IF(I65="",0,I65))</f>
        <v/>
      </c>
      <c r="K65" s="4"/>
      <c r="L65" s="4"/>
      <c r="M65" s="4"/>
    </row>
    <row r="66" customFormat="false" ht="15" hidden="false" customHeight="false" outlineLevel="0" collapsed="false">
      <c r="A66" s="4"/>
      <c r="B66" s="4"/>
      <c r="C66" s="4"/>
      <c r="D66" s="4"/>
      <c r="E66" s="4"/>
      <c r="F66" s="7"/>
      <c r="G66" s="4"/>
      <c r="H66" s="6"/>
      <c r="I66" s="6"/>
      <c r="J66" s="6" t="str">
        <f aca="false">IF(OR(F66="",H66=""),"",F66*H66+IF(I66="",0,I66))</f>
        <v/>
      </c>
      <c r="K66" s="4"/>
      <c r="L66" s="4"/>
      <c r="M66" s="4"/>
    </row>
    <row r="67" customFormat="false" ht="15" hidden="false" customHeight="false" outlineLevel="0" collapsed="false">
      <c r="A67" s="4"/>
      <c r="B67" s="4"/>
      <c r="C67" s="4"/>
      <c r="D67" s="4"/>
      <c r="E67" s="4"/>
      <c r="F67" s="7"/>
      <c r="G67" s="4"/>
      <c r="H67" s="6"/>
      <c r="I67" s="6"/>
      <c r="J67" s="6" t="str">
        <f aca="false">IF(OR(F67="",H67=""),"",F67*H67+IF(I67="",0,I67))</f>
        <v/>
      </c>
      <c r="K67" s="4"/>
      <c r="L67" s="4"/>
      <c r="M67" s="4"/>
    </row>
    <row r="68" customFormat="false" ht="15" hidden="false" customHeight="false" outlineLevel="0" collapsed="false">
      <c r="A68" s="4"/>
      <c r="B68" s="4"/>
      <c r="C68" s="4"/>
      <c r="D68" s="4"/>
      <c r="E68" s="4"/>
      <c r="F68" s="7"/>
      <c r="G68" s="4"/>
      <c r="H68" s="6"/>
      <c r="I68" s="6"/>
      <c r="J68" s="6" t="str">
        <f aca="false">IF(OR(F68="",H68=""),"",F68*H68+IF(I68="",0,I68))</f>
        <v/>
      </c>
      <c r="K68" s="4"/>
      <c r="L68" s="4"/>
      <c r="M68" s="4"/>
    </row>
    <row r="69" customFormat="false" ht="15" hidden="false" customHeight="false" outlineLevel="0" collapsed="false">
      <c r="A69" s="4"/>
      <c r="B69" s="4"/>
      <c r="C69" s="4"/>
      <c r="D69" s="4"/>
      <c r="E69" s="4"/>
      <c r="F69" s="7"/>
      <c r="G69" s="4"/>
      <c r="H69" s="6"/>
      <c r="I69" s="6"/>
      <c r="J69" s="6" t="str">
        <f aca="false">IF(OR(F69="",H69=""),"",F69*H69+IF(I69="",0,I69))</f>
        <v/>
      </c>
      <c r="K69" s="4"/>
      <c r="L69" s="4"/>
      <c r="M69" s="4"/>
    </row>
    <row r="70" customFormat="false" ht="15" hidden="false" customHeight="false" outlineLevel="0" collapsed="false">
      <c r="A70" s="4"/>
      <c r="B70" s="4"/>
      <c r="C70" s="4"/>
      <c r="D70" s="4"/>
      <c r="E70" s="4"/>
      <c r="F70" s="7"/>
      <c r="G70" s="4"/>
      <c r="H70" s="6"/>
      <c r="I70" s="6"/>
      <c r="J70" s="6" t="str">
        <f aca="false">IF(OR(F70="",H70=""),"",F70*H70+IF(I70="",0,I70))</f>
        <v/>
      </c>
      <c r="K70" s="4"/>
      <c r="L70" s="4"/>
      <c r="M70" s="4"/>
    </row>
    <row r="71" customFormat="false" ht="15" hidden="false" customHeight="false" outlineLevel="0" collapsed="false">
      <c r="A71" s="4"/>
      <c r="B71" s="4"/>
      <c r="C71" s="4"/>
      <c r="D71" s="4"/>
      <c r="E71" s="4"/>
      <c r="F71" s="7"/>
      <c r="G71" s="4"/>
      <c r="H71" s="6"/>
      <c r="I71" s="6"/>
      <c r="J71" s="6" t="str">
        <f aca="false">IF(OR(F71="",H71=""),"",F71*H71+IF(I71="",0,I71))</f>
        <v/>
      </c>
      <c r="K71" s="4"/>
      <c r="L71" s="4"/>
      <c r="M71" s="4"/>
    </row>
    <row r="72" customFormat="false" ht="15" hidden="false" customHeight="false" outlineLevel="0" collapsed="false">
      <c r="A72" s="4"/>
      <c r="B72" s="4"/>
      <c r="C72" s="4"/>
      <c r="D72" s="4"/>
      <c r="E72" s="4"/>
      <c r="F72" s="7"/>
      <c r="G72" s="4"/>
      <c r="H72" s="6"/>
      <c r="I72" s="6"/>
      <c r="J72" s="6" t="str">
        <f aca="false">IF(OR(F72="",H72=""),"",F72*H72+IF(I72="",0,I72))</f>
        <v/>
      </c>
      <c r="K72" s="4"/>
      <c r="L72" s="4"/>
      <c r="M72" s="4"/>
    </row>
    <row r="73" customFormat="false" ht="15" hidden="false" customHeight="false" outlineLevel="0" collapsed="false">
      <c r="A73" s="4"/>
      <c r="B73" s="4"/>
      <c r="C73" s="4"/>
      <c r="D73" s="4"/>
      <c r="E73" s="4"/>
      <c r="F73" s="7"/>
      <c r="G73" s="4"/>
      <c r="H73" s="6"/>
      <c r="I73" s="6"/>
      <c r="J73" s="6" t="str">
        <f aca="false">IF(OR(F73="",H73=""),"",F73*H73+IF(I73="",0,I73))</f>
        <v/>
      </c>
      <c r="K73" s="4"/>
      <c r="L73" s="4"/>
      <c r="M73" s="4"/>
    </row>
    <row r="74" customFormat="false" ht="15" hidden="false" customHeight="false" outlineLevel="0" collapsed="false">
      <c r="A74" s="4"/>
      <c r="B74" s="4"/>
      <c r="C74" s="4"/>
      <c r="D74" s="4"/>
      <c r="E74" s="4"/>
      <c r="F74" s="7"/>
      <c r="G74" s="4"/>
      <c r="H74" s="6"/>
      <c r="I74" s="6"/>
      <c r="J74" s="6" t="str">
        <f aca="false">IF(OR(F74="",H74=""),"",F74*H74+IF(I74="",0,I74))</f>
        <v/>
      </c>
      <c r="K74" s="4"/>
      <c r="L74" s="4"/>
      <c r="M74" s="4"/>
    </row>
    <row r="75" customFormat="false" ht="15" hidden="false" customHeight="false" outlineLevel="0" collapsed="false">
      <c r="A75" s="4"/>
      <c r="B75" s="4"/>
      <c r="C75" s="4"/>
      <c r="D75" s="4"/>
      <c r="E75" s="4"/>
      <c r="F75" s="7"/>
      <c r="G75" s="4"/>
      <c r="H75" s="6"/>
      <c r="I75" s="6"/>
      <c r="J75" s="6" t="str">
        <f aca="false">IF(OR(F75="",H75=""),"",F75*H75+IF(I75="",0,I75))</f>
        <v/>
      </c>
      <c r="K75" s="4"/>
      <c r="L75" s="4"/>
      <c r="M75" s="4"/>
    </row>
    <row r="76" customFormat="false" ht="15" hidden="false" customHeight="false" outlineLevel="0" collapsed="false">
      <c r="A76" s="4"/>
      <c r="B76" s="4"/>
      <c r="C76" s="4"/>
      <c r="D76" s="4"/>
      <c r="E76" s="4"/>
      <c r="F76" s="7"/>
      <c r="G76" s="4"/>
      <c r="H76" s="6"/>
      <c r="I76" s="6"/>
      <c r="J76" s="6" t="str">
        <f aca="false">IF(OR(F76="",H76=""),"",F76*H76+IF(I76="",0,I76))</f>
        <v/>
      </c>
      <c r="K76" s="4"/>
      <c r="L76" s="4"/>
      <c r="M76" s="4"/>
    </row>
    <row r="77" customFormat="false" ht="15" hidden="false" customHeight="false" outlineLevel="0" collapsed="false">
      <c r="A77" s="4"/>
      <c r="B77" s="4"/>
      <c r="C77" s="4"/>
      <c r="D77" s="4"/>
      <c r="E77" s="4"/>
      <c r="F77" s="7"/>
      <c r="G77" s="4"/>
      <c r="H77" s="6"/>
      <c r="I77" s="6"/>
      <c r="J77" s="6" t="str">
        <f aca="false">IF(OR(F77="",H77=""),"",F77*H77+IF(I77="",0,I77))</f>
        <v/>
      </c>
      <c r="K77" s="4"/>
      <c r="L77" s="4"/>
      <c r="M77" s="4"/>
    </row>
    <row r="78" customFormat="false" ht="15" hidden="false" customHeight="false" outlineLevel="0" collapsed="false">
      <c r="A78" s="4"/>
      <c r="B78" s="4"/>
      <c r="C78" s="4"/>
      <c r="D78" s="4"/>
      <c r="E78" s="4"/>
      <c r="F78" s="7"/>
      <c r="G78" s="4"/>
      <c r="H78" s="6"/>
      <c r="I78" s="6"/>
      <c r="J78" s="6" t="str">
        <f aca="false">IF(OR(F78="",H78=""),"",F78*H78+IF(I78="",0,I78))</f>
        <v/>
      </c>
      <c r="K78" s="4"/>
      <c r="L78" s="4"/>
      <c r="M78" s="4"/>
    </row>
    <row r="79" customFormat="false" ht="15" hidden="false" customHeight="false" outlineLevel="0" collapsed="false">
      <c r="A79" s="4"/>
      <c r="B79" s="4"/>
      <c r="C79" s="4"/>
      <c r="D79" s="4"/>
      <c r="E79" s="4"/>
      <c r="F79" s="7"/>
      <c r="G79" s="4"/>
      <c r="H79" s="6"/>
      <c r="I79" s="6"/>
      <c r="J79" s="6" t="str">
        <f aca="false">IF(OR(F79="",H79=""),"",F79*H79+IF(I79="",0,I79))</f>
        <v/>
      </c>
      <c r="K79" s="4"/>
      <c r="L79" s="4"/>
      <c r="M79" s="4"/>
    </row>
    <row r="80" customFormat="false" ht="15" hidden="false" customHeight="false" outlineLevel="0" collapsed="false">
      <c r="A80" s="4"/>
      <c r="B80" s="4"/>
      <c r="C80" s="4"/>
      <c r="D80" s="4"/>
      <c r="E80" s="4"/>
      <c r="F80" s="7"/>
      <c r="G80" s="4"/>
      <c r="H80" s="6"/>
      <c r="I80" s="6"/>
      <c r="J80" s="6" t="str">
        <f aca="false">IF(OR(F80="",H80=""),"",F80*H80+IF(I80="",0,I80))</f>
        <v/>
      </c>
      <c r="K80" s="4"/>
      <c r="L80" s="4"/>
      <c r="M80" s="4"/>
    </row>
    <row r="81" customFormat="false" ht="15" hidden="false" customHeight="false" outlineLevel="0" collapsed="false">
      <c r="A81" s="4"/>
      <c r="B81" s="4"/>
      <c r="C81" s="4"/>
      <c r="D81" s="4"/>
      <c r="E81" s="4"/>
      <c r="F81" s="7"/>
      <c r="G81" s="4"/>
      <c r="H81" s="6"/>
      <c r="I81" s="6"/>
      <c r="J81" s="6" t="str">
        <f aca="false">IF(OR(F81="",H81=""),"",F81*H81+IF(I81="",0,I81))</f>
        <v/>
      </c>
      <c r="K81" s="4"/>
      <c r="L81" s="4"/>
      <c r="M81" s="4"/>
    </row>
    <row r="82" customFormat="false" ht="15" hidden="false" customHeight="false" outlineLevel="0" collapsed="false">
      <c r="A82" s="4"/>
      <c r="B82" s="4"/>
      <c r="C82" s="4"/>
      <c r="D82" s="4"/>
      <c r="E82" s="4"/>
      <c r="F82" s="7"/>
      <c r="G82" s="4"/>
      <c r="H82" s="6"/>
      <c r="I82" s="6"/>
      <c r="J82" s="6" t="str">
        <f aca="false">IF(OR(F82="",H82=""),"",F82*H82+IF(I82="",0,I82))</f>
        <v/>
      </c>
      <c r="K82" s="4"/>
      <c r="L82" s="4"/>
      <c r="M82" s="4"/>
    </row>
    <row r="83" customFormat="false" ht="15" hidden="false" customHeight="false" outlineLevel="0" collapsed="false">
      <c r="A83" s="4"/>
      <c r="B83" s="4"/>
      <c r="C83" s="4"/>
      <c r="D83" s="4"/>
      <c r="E83" s="4"/>
      <c r="F83" s="7"/>
      <c r="G83" s="4"/>
      <c r="H83" s="6"/>
      <c r="I83" s="6"/>
      <c r="J83" s="6" t="str">
        <f aca="false">IF(OR(F83="",H83=""),"",F83*H83+IF(I83="",0,I83))</f>
        <v/>
      </c>
      <c r="K83" s="4"/>
      <c r="L83" s="4"/>
      <c r="M83" s="4"/>
    </row>
    <row r="84" customFormat="false" ht="15" hidden="false" customHeight="false" outlineLevel="0" collapsed="false">
      <c r="A84" s="4"/>
      <c r="B84" s="4"/>
      <c r="C84" s="4"/>
      <c r="D84" s="4"/>
      <c r="E84" s="4"/>
      <c r="F84" s="7"/>
      <c r="G84" s="4"/>
      <c r="H84" s="6"/>
      <c r="I84" s="6"/>
      <c r="J84" s="6" t="str">
        <f aca="false">IF(OR(F84="",H84=""),"",F84*H84+IF(I84="",0,I84))</f>
        <v/>
      </c>
      <c r="K84" s="4"/>
      <c r="L84" s="4"/>
      <c r="M84" s="4"/>
    </row>
    <row r="85" customFormat="false" ht="15" hidden="false" customHeight="false" outlineLevel="0" collapsed="false">
      <c r="A85" s="4"/>
      <c r="B85" s="4"/>
      <c r="C85" s="4"/>
      <c r="D85" s="4"/>
      <c r="E85" s="4"/>
      <c r="F85" s="7"/>
      <c r="G85" s="4"/>
      <c r="H85" s="6"/>
      <c r="I85" s="6"/>
      <c r="J85" s="6" t="str">
        <f aca="false">IF(OR(F85="",H85=""),"",F85*H85+IF(I85="",0,I85))</f>
        <v/>
      </c>
      <c r="K85" s="4"/>
      <c r="L85" s="4"/>
      <c r="M85" s="4"/>
    </row>
    <row r="86" customFormat="false" ht="15" hidden="false" customHeight="false" outlineLevel="0" collapsed="false">
      <c r="A86" s="4"/>
      <c r="B86" s="4"/>
      <c r="C86" s="4"/>
      <c r="D86" s="4"/>
      <c r="E86" s="4"/>
      <c r="F86" s="7"/>
      <c r="G86" s="4"/>
      <c r="H86" s="6"/>
      <c r="I86" s="6"/>
      <c r="J86" s="6" t="str">
        <f aca="false">IF(OR(F86="",H86=""),"",F86*H86+IF(I86="",0,I86))</f>
        <v/>
      </c>
      <c r="K86" s="4"/>
      <c r="L86" s="4"/>
      <c r="M86" s="4"/>
    </row>
    <row r="87" customFormat="false" ht="15" hidden="false" customHeight="false" outlineLevel="0" collapsed="false">
      <c r="A87" s="4"/>
      <c r="B87" s="4"/>
      <c r="C87" s="4"/>
      <c r="D87" s="4"/>
      <c r="E87" s="4"/>
      <c r="F87" s="7"/>
      <c r="G87" s="4"/>
      <c r="H87" s="6"/>
      <c r="I87" s="6"/>
      <c r="J87" s="6" t="str">
        <f aca="false">IF(OR(F87="",H87=""),"",F87*H87+IF(I87="",0,I87))</f>
        <v/>
      </c>
      <c r="K87" s="4"/>
      <c r="L87" s="4"/>
      <c r="M87" s="4"/>
    </row>
    <row r="88" customFormat="false" ht="15" hidden="false" customHeight="false" outlineLevel="0" collapsed="false">
      <c r="A88" s="4"/>
      <c r="B88" s="4"/>
      <c r="C88" s="4"/>
      <c r="D88" s="4"/>
      <c r="E88" s="4"/>
      <c r="F88" s="7"/>
      <c r="G88" s="4"/>
      <c r="H88" s="6"/>
      <c r="I88" s="6"/>
      <c r="J88" s="6" t="str">
        <f aca="false">IF(OR(F88="",H88=""),"",F88*H88+IF(I88="",0,I88))</f>
        <v/>
      </c>
      <c r="K88" s="4"/>
      <c r="L88" s="4"/>
      <c r="M88" s="4"/>
    </row>
    <row r="89" customFormat="false" ht="15" hidden="false" customHeight="false" outlineLevel="0" collapsed="false">
      <c r="A89" s="4"/>
      <c r="B89" s="4"/>
      <c r="C89" s="4"/>
      <c r="D89" s="4"/>
      <c r="E89" s="4"/>
      <c r="F89" s="7"/>
      <c r="G89" s="4"/>
      <c r="H89" s="6"/>
      <c r="I89" s="6"/>
      <c r="J89" s="6" t="str">
        <f aca="false">IF(OR(F89="",H89=""),"",F89*H89+IF(I89="",0,I89))</f>
        <v/>
      </c>
      <c r="K89" s="4"/>
      <c r="L89" s="4"/>
      <c r="M89" s="4"/>
    </row>
    <row r="90" customFormat="false" ht="15" hidden="false" customHeight="false" outlineLevel="0" collapsed="false">
      <c r="A90" s="4"/>
      <c r="B90" s="4"/>
      <c r="C90" s="4"/>
      <c r="D90" s="4"/>
      <c r="E90" s="4"/>
      <c r="F90" s="7"/>
      <c r="G90" s="4"/>
      <c r="H90" s="6"/>
      <c r="I90" s="6"/>
      <c r="J90" s="6" t="str">
        <f aca="false">IF(OR(F90="",H90=""),"",F90*H90+IF(I90="",0,I90))</f>
        <v/>
      </c>
      <c r="K90" s="4"/>
      <c r="L90" s="4"/>
      <c r="M90" s="4"/>
    </row>
    <row r="91" customFormat="false" ht="15" hidden="false" customHeight="false" outlineLevel="0" collapsed="false">
      <c r="A91" s="4"/>
      <c r="B91" s="4"/>
      <c r="C91" s="4"/>
      <c r="D91" s="4"/>
      <c r="E91" s="4"/>
      <c r="F91" s="7"/>
      <c r="G91" s="4"/>
      <c r="H91" s="6"/>
      <c r="I91" s="6"/>
      <c r="J91" s="6" t="str">
        <f aca="false">IF(OR(F91="",H91=""),"",F91*H91+IF(I91="",0,I91))</f>
        <v/>
      </c>
      <c r="K91" s="4"/>
      <c r="L91" s="4"/>
      <c r="M91" s="4"/>
    </row>
    <row r="92" customFormat="false" ht="15" hidden="false" customHeight="false" outlineLevel="0" collapsed="false">
      <c r="A92" s="4"/>
      <c r="B92" s="4"/>
      <c r="C92" s="4"/>
      <c r="D92" s="4"/>
      <c r="E92" s="4"/>
      <c r="F92" s="7"/>
      <c r="G92" s="4"/>
      <c r="H92" s="6"/>
      <c r="I92" s="6"/>
      <c r="J92" s="6" t="str">
        <f aca="false">IF(OR(F92="",H92=""),"",F92*H92+IF(I92="",0,I92))</f>
        <v/>
      </c>
      <c r="K92" s="4"/>
      <c r="L92" s="4"/>
      <c r="M92" s="4"/>
    </row>
    <row r="93" customFormat="false" ht="15" hidden="false" customHeight="false" outlineLevel="0" collapsed="false">
      <c r="A93" s="4"/>
      <c r="B93" s="4"/>
      <c r="C93" s="4"/>
      <c r="D93" s="4"/>
      <c r="E93" s="4"/>
      <c r="F93" s="7"/>
      <c r="G93" s="4"/>
      <c r="H93" s="6"/>
      <c r="I93" s="6"/>
      <c r="J93" s="6" t="str">
        <f aca="false">IF(OR(F93="",H93=""),"",F93*H93+IF(I93="",0,I93))</f>
        <v/>
      </c>
      <c r="K93" s="4"/>
      <c r="L93" s="4"/>
      <c r="M93" s="4"/>
    </row>
    <row r="94" customFormat="false" ht="15" hidden="false" customHeight="false" outlineLevel="0" collapsed="false">
      <c r="A94" s="4"/>
      <c r="B94" s="4"/>
      <c r="C94" s="4"/>
      <c r="D94" s="4"/>
      <c r="E94" s="4"/>
      <c r="F94" s="7"/>
      <c r="G94" s="4"/>
      <c r="H94" s="6"/>
      <c r="I94" s="6"/>
      <c r="J94" s="6" t="str">
        <f aca="false">IF(OR(F94="",H94=""),"",F94*H94+IF(I94="",0,I94))</f>
        <v/>
      </c>
      <c r="K94" s="4"/>
      <c r="L94" s="4"/>
      <c r="M94" s="4"/>
    </row>
    <row r="95" customFormat="false" ht="15" hidden="false" customHeight="false" outlineLevel="0" collapsed="false">
      <c r="A95" s="4"/>
      <c r="B95" s="4"/>
      <c r="C95" s="4"/>
      <c r="D95" s="4"/>
      <c r="E95" s="4"/>
      <c r="F95" s="7"/>
      <c r="G95" s="4"/>
      <c r="H95" s="6"/>
      <c r="I95" s="6"/>
      <c r="J95" s="6" t="str">
        <f aca="false">IF(OR(F95="",H95=""),"",F95*H95+IF(I95="",0,I95))</f>
        <v/>
      </c>
      <c r="K95" s="4"/>
      <c r="L95" s="4"/>
      <c r="M95" s="4"/>
    </row>
    <row r="96" customFormat="false" ht="15" hidden="false" customHeight="false" outlineLevel="0" collapsed="false">
      <c r="A96" s="4"/>
      <c r="B96" s="4"/>
      <c r="C96" s="4"/>
      <c r="D96" s="4"/>
      <c r="E96" s="4"/>
      <c r="F96" s="7"/>
      <c r="G96" s="4"/>
      <c r="H96" s="6"/>
      <c r="I96" s="6"/>
      <c r="J96" s="6" t="str">
        <f aca="false">IF(OR(F96="",H96=""),"",F96*H96+IF(I96="",0,I96))</f>
        <v/>
      </c>
      <c r="K96" s="4"/>
      <c r="L96" s="4"/>
      <c r="M96" s="4"/>
    </row>
    <row r="97" customFormat="false" ht="15" hidden="false" customHeight="false" outlineLevel="0" collapsed="false">
      <c r="A97" s="4"/>
      <c r="B97" s="4"/>
      <c r="C97" s="4"/>
      <c r="D97" s="4"/>
      <c r="E97" s="4"/>
      <c r="F97" s="7"/>
      <c r="G97" s="4"/>
      <c r="H97" s="6"/>
      <c r="I97" s="6"/>
      <c r="J97" s="6" t="str">
        <f aca="false">IF(OR(F97="",H97=""),"",F97*H97+IF(I97="",0,I97))</f>
        <v/>
      </c>
      <c r="K97" s="4"/>
      <c r="L97" s="4"/>
      <c r="M97" s="4"/>
    </row>
    <row r="98" customFormat="false" ht="15" hidden="false" customHeight="false" outlineLevel="0" collapsed="false">
      <c r="A98" s="4"/>
      <c r="B98" s="4"/>
      <c r="C98" s="4"/>
      <c r="D98" s="4"/>
      <c r="E98" s="4"/>
      <c r="F98" s="7"/>
      <c r="G98" s="4"/>
      <c r="H98" s="6"/>
      <c r="I98" s="6"/>
      <c r="J98" s="6" t="str">
        <f aca="false">IF(OR(F98="",H98=""),"",F98*H98+IF(I98="",0,I98))</f>
        <v/>
      </c>
      <c r="K98" s="4"/>
      <c r="L98" s="4"/>
      <c r="M98" s="4"/>
    </row>
    <row r="99" customFormat="false" ht="15" hidden="false" customHeight="false" outlineLevel="0" collapsed="false">
      <c r="A99" s="4"/>
      <c r="B99" s="4"/>
      <c r="C99" s="4"/>
      <c r="D99" s="4"/>
      <c r="E99" s="4"/>
      <c r="F99" s="7"/>
      <c r="G99" s="4"/>
      <c r="H99" s="6"/>
      <c r="I99" s="6"/>
      <c r="J99" s="6" t="str">
        <f aca="false">IF(OR(F99="",H99=""),"",F99*H99+IF(I99="",0,I99))</f>
        <v/>
      </c>
      <c r="K99" s="4"/>
      <c r="L99" s="4"/>
      <c r="M99" s="4"/>
    </row>
    <row r="100" customFormat="false" ht="15" hidden="false" customHeight="false" outlineLevel="0" collapsed="false">
      <c r="A100" s="4"/>
      <c r="B100" s="4"/>
      <c r="C100" s="4"/>
      <c r="D100" s="4"/>
      <c r="E100" s="4"/>
      <c r="F100" s="7"/>
      <c r="G100" s="4"/>
      <c r="H100" s="6"/>
      <c r="I100" s="6"/>
      <c r="J100" s="6" t="str">
        <f aca="false">IF(OR(F100="",H100=""),"",F100*H100+IF(I100="",0,I100))</f>
        <v/>
      </c>
      <c r="K100" s="4"/>
      <c r="L100" s="4"/>
      <c r="M100" s="4"/>
    </row>
    <row r="101" customFormat="false" ht="15" hidden="false" customHeight="false" outlineLevel="0" collapsed="false">
      <c r="A101" s="4"/>
      <c r="B101" s="4"/>
      <c r="C101" s="4"/>
      <c r="D101" s="4"/>
      <c r="E101" s="4"/>
      <c r="F101" s="7"/>
      <c r="G101" s="4"/>
      <c r="H101" s="6"/>
      <c r="I101" s="6"/>
      <c r="J101" s="6" t="str">
        <f aca="false">IF(OR(F101="",H101=""),"",F101*H101+IF(I101="",0,I101))</f>
        <v/>
      </c>
      <c r="K101" s="4"/>
      <c r="L101" s="4"/>
      <c r="M101" s="4"/>
    </row>
    <row r="102" customFormat="false" ht="15" hidden="false" customHeight="false" outlineLevel="0" collapsed="false">
      <c r="A102" s="4"/>
      <c r="B102" s="4"/>
      <c r="C102" s="4"/>
      <c r="D102" s="4"/>
      <c r="E102" s="4"/>
      <c r="F102" s="7"/>
      <c r="G102" s="4"/>
      <c r="H102" s="6"/>
      <c r="I102" s="6"/>
      <c r="J102" s="6" t="str">
        <f aca="false">IF(OR(F102="",H102=""),"",F102*H102+IF(I102="",0,I102))</f>
        <v/>
      </c>
      <c r="K102" s="4"/>
      <c r="L102" s="4"/>
      <c r="M102" s="4"/>
    </row>
    <row r="103" customFormat="false" ht="15" hidden="false" customHeight="false" outlineLevel="0" collapsed="false">
      <c r="A103" s="4"/>
      <c r="B103" s="4"/>
      <c r="C103" s="4"/>
      <c r="D103" s="4"/>
      <c r="E103" s="4"/>
      <c r="F103" s="7"/>
      <c r="G103" s="4"/>
      <c r="H103" s="6"/>
      <c r="I103" s="6"/>
      <c r="J103" s="6" t="str">
        <f aca="false">IF(OR(F103="",H103=""),"",F103*H103+IF(I103="",0,I103))</f>
        <v/>
      </c>
      <c r="K103" s="4"/>
      <c r="L103" s="4"/>
      <c r="M103" s="4"/>
    </row>
    <row r="104" customFormat="false" ht="15" hidden="false" customHeight="false" outlineLevel="0" collapsed="false">
      <c r="A104" s="4"/>
      <c r="B104" s="4"/>
      <c r="C104" s="4"/>
      <c r="D104" s="4"/>
      <c r="E104" s="4"/>
      <c r="F104" s="7"/>
      <c r="G104" s="4"/>
      <c r="H104" s="6"/>
      <c r="I104" s="6"/>
      <c r="J104" s="6" t="str">
        <f aca="false">IF(OR(F104="",H104=""),"",F104*H104+IF(I104="",0,I104))</f>
        <v/>
      </c>
      <c r="K104" s="4"/>
      <c r="L104" s="4"/>
      <c r="M104" s="4"/>
    </row>
    <row r="105" customFormat="false" ht="15" hidden="false" customHeight="false" outlineLevel="0" collapsed="false">
      <c r="A105" s="4"/>
      <c r="B105" s="4"/>
      <c r="C105" s="4"/>
      <c r="D105" s="4"/>
      <c r="E105" s="4"/>
      <c r="F105" s="7"/>
      <c r="G105" s="4"/>
      <c r="H105" s="6"/>
      <c r="I105" s="6"/>
      <c r="J105" s="6" t="str">
        <f aca="false">IF(OR(F105="",H105=""),"",F105*H105+IF(I105="",0,I105))</f>
        <v/>
      </c>
      <c r="K105" s="4"/>
      <c r="L105" s="4"/>
      <c r="M105" s="4"/>
    </row>
    <row r="106" customFormat="false" ht="15" hidden="false" customHeight="false" outlineLevel="0" collapsed="false">
      <c r="A106" s="4"/>
      <c r="B106" s="4"/>
      <c r="C106" s="4"/>
      <c r="D106" s="4"/>
      <c r="E106" s="4"/>
      <c r="F106" s="7"/>
      <c r="G106" s="4"/>
      <c r="H106" s="6"/>
      <c r="I106" s="6"/>
      <c r="J106" s="6" t="str">
        <f aca="false">IF(OR(F106="",H106=""),"",F106*H106+IF(I106="",0,I106))</f>
        <v/>
      </c>
      <c r="K106" s="4"/>
      <c r="L106" s="4"/>
      <c r="M106" s="4"/>
    </row>
    <row r="107" customFormat="false" ht="15" hidden="false" customHeight="false" outlineLevel="0" collapsed="false">
      <c r="A107" s="4"/>
      <c r="B107" s="4"/>
      <c r="C107" s="4"/>
      <c r="D107" s="4"/>
      <c r="E107" s="4"/>
      <c r="F107" s="7"/>
      <c r="G107" s="4"/>
      <c r="H107" s="6"/>
      <c r="I107" s="6"/>
      <c r="J107" s="6" t="str">
        <f aca="false">IF(OR(F107="",H107=""),"",F107*H107+IF(I107="",0,I107))</f>
        <v/>
      </c>
      <c r="K107" s="4"/>
      <c r="L107" s="4"/>
      <c r="M107" s="4"/>
    </row>
    <row r="108" customFormat="false" ht="15" hidden="false" customHeight="false" outlineLevel="0" collapsed="false">
      <c r="A108" s="4"/>
      <c r="B108" s="4"/>
      <c r="C108" s="4"/>
      <c r="D108" s="4"/>
      <c r="E108" s="4"/>
      <c r="F108" s="7"/>
      <c r="G108" s="4"/>
      <c r="H108" s="6"/>
      <c r="I108" s="6"/>
      <c r="J108" s="6" t="str">
        <f aca="false">IF(OR(F108="",H108=""),"",F108*H108+IF(I108="",0,I108))</f>
        <v/>
      </c>
      <c r="K108" s="4"/>
      <c r="L108" s="4"/>
      <c r="M108" s="4"/>
    </row>
    <row r="109" customFormat="false" ht="15" hidden="false" customHeight="false" outlineLevel="0" collapsed="false">
      <c r="A109" s="4"/>
      <c r="B109" s="4"/>
      <c r="C109" s="4"/>
      <c r="D109" s="4"/>
      <c r="E109" s="4"/>
      <c r="F109" s="7"/>
      <c r="G109" s="4"/>
      <c r="H109" s="6"/>
      <c r="I109" s="6"/>
      <c r="J109" s="6" t="str">
        <f aca="false">IF(OR(F109="",H109=""),"",F109*H109+IF(I109="",0,I109))</f>
        <v/>
      </c>
      <c r="K109" s="4"/>
      <c r="L109" s="4"/>
      <c r="M109" s="4"/>
    </row>
    <row r="110" customFormat="false" ht="15" hidden="false" customHeight="false" outlineLevel="0" collapsed="false">
      <c r="A110" s="4"/>
      <c r="B110" s="4"/>
      <c r="C110" s="4"/>
      <c r="D110" s="4"/>
      <c r="E110" s="4"/>
      <c r="F110" s="7"/>
      <c r="G110" s="4"/>
      <c r="H110" s="6"/>
      <c r="I110" s="6"/>
      <c r="J110" s="6" t="str">
        <f aca="false">IF(OR(F110="",H110=""),"",F110*H110+IF(I110="",0,I110))</f>
        <v/>
      </c>
      <c r="K110" s="4"/>
      <c r="L110" s="4"/>
      <c r="M110" s="4"/>
    </row>
    <row r="111" customFormat="false" ht="15" hidden="false" customHeight="false" outlineLevel="0" collapsed="false">
      <c r="A111" s="4"/>
      <c r="B111" s="4"/>
      <c r="C111" s="4"/>
      <c r="D111" s="4"/>
      <c r="E111" s="4"/>
      <c r="F111" s="7"/>
      <c r="G111" s="4"/>
      <c r="H111" s="6"/>
      <c r="I111" s="6"/>
      <c r="J111" s="6" t="str">
        <f aca="false">IF(OR(F111="",H111=""),"",F111*H111+IF(I111="",0,I111))</f>
        <v/>
      </c>
      <c r="K111" s="4"/>
      <c r="L111" s="4"/>
      <c r="M111" s="4"/>
    </row>
  </sheetData>
  <mergeCells count="1">
    <mergeCell ref="A1:M1"/>
  </mergeCells>
  <dataValidations count="2">
    <dataValidation allowBlank="false" errorStyle="stop" operator="between" showDropDown="false" showErrorMessage="false" showInputMessage="false" sqref="B12:B111" type="list">
      <formula1>"主控,MCU,感測器,伺服/馬達,電源,通訊,機構,軟體,安全,其他"</formula1>
      <formula2>0</formula2>
    </dataValidation>
    <dataValidation allowBlank="false" errorStyle="stop" operator="between" showDropDown="false" showErrorMessage="false" showInputMessage="false" sqref="L12:L111" type="list">
      <formula1>"未詢價,已詢價,已購買,已到貨,不購買,替代品"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7265625" defaultRowHeight="15" zeroHeight="false" outlineLevelRow="0" outlineLevelCol="0"/>
  <cols>
    <col collapsed="false" customWidth="true" hidden="false" outlineLevel="0" max="1" min="1" style="0" width="10.99"/>
    <col collapsed="false" customWidth="true" hidden="false" outlineLevel="0" max="3" min="2" style="0" width="24.18"/>
    <col collapsed="false" customWidth="true" hidden="false" outlineLevel="0" max="6" min="4" style="0" width="14.29"/>
    <col collapsed="false" customWidth="true" hidden="false" outlineLevel="0" max="7" min="7" style="0" width="32.97"/>
    <col collapsed="false" customWidth="true" hidden="false" outlineLevel="0" max="8" min="8" style="0" width="13.19"/>
    <col collapsed="false" customWidth="true" hidden="false" outlineLevel="0" max="10" min="9" style="0" width="26.38"/>
  </cols>
  <sheetData>
    <row r="1" customFormat="false" ht="30" hidden="false" customHeight="true" outlineLevel="0" collapsed="false">
      <c r="A1" s="1" t="s">
        <v>104</v>
      </c>
      <c r="B1" s="1"/>
      <c r="C1" s="1"/>
      <c r="D1" s="1"/>
      <c r="E1" s="1"/>
      <c r="F1" s="1"/>
      <c r="G1" s="1"/>
      <c r="H1" s="1"/>
      <c r="I1" s="1"/>
      <c r="J1" s="1"/>
    </row>
    <row r="4" customFormat="false" ht="24" hidden="false" customHeight="true" outlineLevel="0" collapsed="false">
      <c r="A4" s="2" t="s">
        <v>105</v>
      </c>
      <c r="B4" s="2" t="s">
        <v>106</v>
      </c>
      <c r="C4" s="2" t="s">
        <v>107</v>
      </c>
      <c r="D4" s="2" t="s">
        <v>108</v>
      </c>
      <c r="E4" s="2" t="s">
        <v>109</v>
      </c>
      <c r="F4" s="2" t="s">
        <v>110</v>
      </c>
      <c r="G4" s="2" t="s">
        <v>61</v>
      </c>
      <c r="H4" s="2" t="s">
        <v>63</v>
      </c>
      <c r="I4" s="2" t="s">
        <v>111</v>
      </c>
      <c r="J4" s="2" t="s">
        <v>24</v>
      </c>
    </row>
    <row r="5" customFormat="false" ht="15" hidden="false" customHeight="false" outlineLevel="0" collapsed="false">
      <c r="A5" s="4"/>
      <c r="B5" s="4"/>
      <c r="C5" s="4"/>
      <c r="D5" s="8"/>
      <c r="E5" s="8"/>
      <c r="F5" s="8"/>
      <c r="G5" s="4"/>
      <c r="H5" s="4"/>
      <c r="I5" s="4"/>
      <c r="J5" s="4"/>
    </row>
    <row r="6" customFormat="false" ht="15" hidden="false" customHeight="false" outlineLevel="0" collapsed="false">
      <c r="A6" s="4"/>
      <c r="B6" s="4"/>
      <c r="C6" s="4"/>
      <c r="D6" s="8"/>
      <c r="E6" s="8"/>
      <c r="F6" s="8"/>
      <c r="G6" s="4"/>
      <c r="H6" s="4"/>
      <c r="I6" s="4"/>
      <c r="J6" s="4"/>
    </row>
    <row r="7" customFormat="false" ht="15" hidden="false" customHeight="false" outlineLevel="0" collapsed="false">
      <c r="A7" s="4"/>
      <c r="B7" s="4"/>
      <c r="C7" s="4"/>
      <c r="D7" s="8"/>
      <c r="E7" s="8"/>
      <c r="F7" s="8"/>
      <c r="G7" s="4"/>
      <c r="H7" s="4"/>
      <c r="I7" s="4"/>
      <c r="J7" s="4"/>
    </row>
    <row r="8" customFormat="false" ht="15" hidden="false" customHeight="false" outlineLevel="0" collapsed="false">
      <c r="A8" s="4"/>
      <c r="B8" s="4"/>
      <c r="C8" s="4"/>
      <c r="D8" s="8"/>
      <c r="E8" s="8"/>
      <c r="F8" s="8"/>
      <c r="G8" s="4"/>
      <c r="H8" s="4"/>
      <c r="I8" s="4"/>
      <c r="J8" s="4"/>
    </row>
    <row r="9" customFormat="false" ht="15" hidden="false" customHeight="false" outlineLevel="0" collapsed="false">
      <c r="A9" s="4"/>
      <c r="B9" s="4"/>
      <c r="C9" s="4"/>
      <c r="D9" s="8"/>
      <c r="E9" s="8"/>
      <c r="F9" s="8"/>
      <c r="G9" s="4"/>
      <c r="H9" s="4"/>
      <c r="I9" s="4"/>
      <c r="J9" s="4"/>
    </row>
    <row r="10" customFormat="false" ht="15" hidden="false" customHeight="false" outlineLevel="0" collapsed="false">
      <c r="A10" s="4"/>
      <c r="B10" s="4"/>
      <c r="C10" s="4"/>
      <c r="D10" s="8"/>
      <c r="E10" s="8"/>
      <c r="F10" s="8"/>
      <c r="G10" s="4"/>
      <c r="H10" s="4"/>
      <c r="I10" s="4"/>
      <c r="J10" s="4"/>
    </row>
    <row r="11" customFormat="false" ht="15" hidden="false" customHeight="false" outlineLevel="0" collapsed="false">
      <c r="A11" s="4"/>
      <c r="B11" s="4"/>
      <c r="C11" s="4"/>
      <c r="D11" s="8"/>
      <c r="E11" s="8"/>
      <c r="F11" s="8"/>
      <c r="G11" s="4"/>
      <c r="H11" s="4"/>
      <c r="I11" s="4"/>
      <c r="J11" s="4"/>
    </row>
    <row r="12" customFormat="false" ht="15" hidden="false" customHeight="false" outlineLevel="0" collapsed="false">
      <c r="A12" s="4"/>
      <c r="B12" s="4"/>
      <c r="C12" s="4"/>
      <c r="D12" s="8"/>
      <c r="E12" s="8"/>
      <c r="F12" s="8"/>
      <c r="G12" s="4"/>
      <c r="H12" s="4"/>
      <c r="I12" s="4"/>
      <c r="J12" s="4"/>
    </row>
    <row r="13" customFormat="false" ht="15" hidden="false" customHeight="false" outlineLevel="0" collapsed="false">
      <c r="A13" s="4"/>
      <c r="B13" s="4"/>
      <c r="C13" s="4"/>
      <c r="D13" s="8"/>
      <c r="E13" s="8"/>
      <c r="F13" s="8"/>
      <c r="G13" s="4"/>
      <c r="H13" s="4"/>
      <c r="I13" s="4"/>
      <c r="J13" s="4"/>
    </row>
    <row r="14" customFormat="false" ht="15" hidden="false" customHeight="false" outlineLevel="0" collapsed="false">
      <c r="A14" s="4"/>
      <c r="B14" s="4"/>
      <c r="C14" s="4"/>
      <c r="D14" s="8"/>
      <c r="E14" s="8"/>
      <c r="F14" s="8"/>
      <c r="G14" s="4"/>
      <c r="H14" s="4"/>
      <c r="I14" s="4"/>
      <c r="J14" s="4"/>
    </row>
    <row r="15" customFormat="false" ht="15" hidden="false" customHeight="false" outlineLevel="0" collapsed="false">
      <c r="A15" s="4"/>
      <c r="B15" s="4"/>
      <c r="C15" s="4"/>
      <c r="D15" s="8"/>
      <c r="E15" s="8"/>
      <c r="F15" s="8"/>
      <c r="G15" s="4"/>
      <c r="H15" s="4"/>
      <c r="I15" s="4"/>
      <c r="J15" s="4"/>
    </row>
    <row r="16" customFormat="false" ht="15" hidden="false" customHeight="false" outlineLevel="0" collapsed="false">
      <c r="A16" s="4"/>
      <c r="B16" s="4"/>
      <c r="C16" s="4"/>
      <c r="D16" s="8"/>
      <c r="E16" s="8"/>
      <c r="F16" s="8"/>
      <c r="G16" s="4"/>
      <c r="H16" s="4"/>
      <c r="I16" s="4"/>
      <c r="J16" s="4"/>
    </row>
    <row r="17" customFormat="false" ht="15" hidden="false" customHeight="false" outlineLevel="0" collapsed="false">
      <c r="A17" s="4"/>
      <c r="B17" s="4"/>
      <c r="C17" s="4"/>
      <c r="D17" s="8"/>
      <c r="E17" s="8"/>
      <c r="F17" s="8"/>
      <c r="G17" s="4"/>
      <c r="H17" s="4"/>
      <c r="I17" s="4"/>
      <c r="J17" s="4"/>
    </row>
    <row r="18" customFormat="false" ht="15" hidden="false" customHeight="false" outlineLevel="0" collapsed="false">
      <c r="A18" s="4"/>
      <c r="B18" s="4"/>
      <c r="C18" s="4"/>
      <c r="D18" s="8"/>
      <c r="E18" s="8"/>
      <c r="F18" s="8"/>
      <c r="G18" s="4"/>
      <c r="H18" s="4"/>
      <c r="I18" s="4"/>
      <c r="J18" s="4"/>
    </row>
    <row r="19" customFormat="false" ht="15" hidden="false" customHeight="false" outlineLevel="0" collapsed="false">
      <c r="A19" s="4"/>
      <c r="B19" s="4"/>
      <c r="C19" s="4"/>
      <c r="D19" s="8"/>
      <c r="E19" s="8"/>
      <c r="F19" s="8"/>
      <c r="G19" s="4"/>
      <c r="H19" s="4"/>
      <c r="I19" s="4"/>
      <c r="J19" s="4"/>
    </row>
    <row r="20" customFormat="false" ht="15" hidden="false" customHeight="false" outlineLevel="0" collapsed="false">
      <c r="A20" s="4"/>
      <c r="B20" s="4"/>
      <c r="C20" s="4"/>
      <c r="D20" s="8"/>
      <c r="E20" s="8"/>
      <c r="F20" s="8"/>
      <c r="G20" s="4"/>
      <c r="H20" s="4"/>
      <c r="I20" s="4"/>
      <c r="J20" s="4"/>
    </row>
    <row r="21" customFormat="false" ht="15" hidden="false" customHeight="false" outlineLevel="0" collapsed="false">
      <c r="A21" s="4"/>
      <c r="B21" s="4"/>
      <c r="C21" s="4"/>
      <c r="D21" s="8"/>
      <c r="E21" s="8"/>
      <c r="F21" s="8"/>
      <c r="G21" s="4"/>
      <c r="H21" s="4"/>
      <c r="I21" s="4"/>
      <c r="J21" s="4"/>
    </row>
    <row r="22" customFormat="false" ht="15" hidden="false" customHeight="false" outlineLevel="0" collapsed="false">
      <c r="A22" s="4"/>
      <c r="B22" s="4"/>
      <c r="C22" s="4"/>
      <c r="D22" s="8"/>
      <c r="E22" s="8"/>
      <c r="F22" s="8"/>
      <c r="G22" s="4"/>
      <c r="H22" s="4"/>
      <c r="I22" s="4"/>
      <c r="J22" s="4"/>
    </row>
    <row r="23" customFormat="false" ht="15" hidden="false" customHeight="false" outlineLevel="0" collapsed="false">
      <c r="A23" s="4"/>
      <c r="B23" s="4"/>
      <c r="C23" s="4"/>
      <c r="D23" s="8"/>
      <c r="E23" s="8"/>
      <c r="F23" s="8"/>
      <c r="G23" s="4"/>
      <c r="H23" s="4"/>
      <c r="I23" s="4"/>
      <c r="J23" s="4"/>
    </row>
    <row r="24" customFormat="false" ht="15" hidden="false" customHeight="false" outlineLevel="0" collapsed="false">
      <c r="A24" s="4"/>
      <c r="B24" s="4"/>
      <c r="C24" s="4"/>
      <c r="D24" s="8"/>
      <c r="E24" s="8"/>
      <c r="F24" s="8"/>
      <c r="G24" s="4"/>
      <c r="H24" s="4"/>
      <c r="I24" s="4"/>
      <c r="J24" s="4"/>
    </row>
    <row r="25" customFormat="false" ht="15" hidden="false" customHeight="false" outlineLevel="0" collapsed="false">
      <c r="A25" s="4"/>
      <c r="B25" s="4"/>
      <c r="C25" s="4"/>
      <c r="D25" s="8"/>
      <c r="E25" s="8"/>
      <c r="F25" s="8"/>
      <c r="G25" s="4"/>
      <c r="H25" s="4"/>
      <c r="I25" s="4"/>
      <c r="J25" s="4"/>
    </row>
    <row r="26" customFormat="false" ht="15" hidden="false" customHeight="false" outlineLevel="0" collapsed="false">
      <c r="A26" s="4"/>
      <c r="B26" s="4"/>
      <c r="C26" s="4"/>
      <c r="D26" s="8"/>
      <c r="E26" s="8"/>
      <c r="F26" s="8"/>
      <c r="G26" s="4"/>
      <c r="H26" s="4"/>
      <c r="I26" s="4"/>
      <c r="J26" s="4"/>
    </row>
    <row r="27" customFormat="false" ht="15" hidden="false" customHeight="false" outlineLevel="0" collapsed="false">
      <c r="A27" s="4"/>
      <c r="B27" s="4"/>
      <c r="C27" s="4"/>
      <c r="D27" s="8"/>
      <c r="E27" s="8"/>
      <c r="F27" s="8"/>
      <c r="G27" s="4"/>
      <c r="H27" s="4"/>
      <c r="I27" s="4"/>
      <c r="J27" s="4"/>
    </row>
    <row r="28" customFormat="false" ht="15" hidden="false" customHeight="false" outlineLevel="0" collapsed="false">
      <c r="A28" s="4"/>
      <c r="B28" s="4"/>
      <c r="C28" s="4"/>
      <c r="D28" s="8"/>
      <c r="E28" s="8"/>
      <c r="F28" s="8"/>
      <c r="G28" s="4"/>
      <c r="H28" s="4"/>
      <c r="I28" s="4"/>
      <c r="J28" s="4"/>
    </row>
    <row r="29" customFormat="false" ht="15" hidden="false" customHeight="false" outlineLevel="0" collapsed="false">
      <c r="A29" s="4"/>
      <c r="B29" s="4"/>
      <c r="C29" s="4"/>
      <c r="D29" s="8"/>
      <c r="E29" s="8"/>
      <c r="F29" s="8"/>
      <c r="G29" s="4"/>
      <c r="H29" s="4"/>
      <c r="I29" s="4"/>
      <c r="J29" s="4"/>
    </row>
    <row r="30" customFormat="false" ht="15" hidden="false" customHeight="false" outlineLevel="0" collapsed="false">
      <c r="A30" s="4"/>
      <c r="B30" s="4"/>
      <c r="C30" s="4"/>
      <c r="D30" s="8"/>
      <c r="E30" s="8"/>
      <c r="F30" s="8"/>
      <c r="G30" s="4"/>
      <c r="H30" s="4"/>
      <c r="I30" s="4"/>
      <c r="J30" s="4"/>
    </row>
    <row r="31" customFormat="false" ht="15" hidden="false" customHeight="false" outlineLevel="0" collapsed="false">
      <c r="A31" s="4"/>
      <c r="B31" s="4"/>
      <c r="C31" s="4"/>
      <c r="D31" s="8"/>
      <c r="E31" s="8"/>
      <c r="F31" s="8"/>
      <c r="G31" s="4"/>
      <c r="H31" s="4"/>
      <c r="I31" s="4"/>
      <c r="J31" s="4"/>
    </row>
    <row r="32" customFormat="false" ht="15" hidden="false" customHeight="false" outlineLevel="0" collapsed="false">
      <c r="A32" s="4"/>
      <c r="B32" s="4"/>
      <c r="C32" s="4"/>
      <c r="D32" s="8"/>
      <c r="E32" s="8"/>
      <c r="F32" s="8"/>
      <c r="G32" s="4"/>
      <c r="H32" s="4"/>
      <c r="I32" s="4"/>
      <c r="J32" s="4"/>
    </row>
    <row r="33" customFormat="false" ht="15" hidden="false" customHeight="false" outlineLevel="0" collapsed="false">
      <c r="A33" s="4"/>
      <c r="B33" s="4"/>
      <c r="C33" s="4"/>
      <c r="D33" s="8"/>
      <c r="E33" s="8"/>
      <c r="F33" s="8"/>
      <c r="G33" s="4"/>
      <c r="H33" s="4"/>
      <c r="I33" s="4"/>
      <c r="J33" s="4"/>
    </row>
    <row r="34" customFormat="false" ht="15" hidden="false" customHeight="false" outlineLevel="0" collapsed="false">
      <c r="A34" s="4"/>
      <c r="B34" s="4"/>
      <c r="C34" s="4"/>
      <c r="D34" s="8"/>
      <c r="E34" s="8"/>
      <c r="F34" s="8"/>
      <c r="G34" s="4"/>
      <c r="H34" s="4"/>
      <c r="I34" s="4"/>
      <c r="J34" s="4"/>
    </row>
    <row r="35" customFormat="false" ht="15" hidden="false" customHeight="false" outlineLevel="0" collapsed="false">
      <c r="A35" s="4"/>
      <c r="B35" s="4"/>
      <c r="C35" s="4"/>
      <c r="D35" s="8"/>
      <c r="E35" s="8"/>
      <c r="F35" s="8"/>
      <c r="G35" s="4"/>
      <c r="H35" s="4"/>
      <c r="I35" s="4"/>
      <c r="J35" s="4"/>
    </row>
    <row r="36" customFormat="false" ht="15" hidden="false" customHeight="false" outlineLevel="0" collapsed="false">
      <c r="A36" s="4"/>
      <c r="B36" s="4"/>
      <c r="C36" s="4"/>
      <c r="D36" s="8"/>
      <c r="E36" s="8"/>
      <c r="F36" s="8"/>
      <c r="G36" s="4"/>
      <c r="H36" s="4"/>
      <c r="I36" s="4"/>
      <c r="J36" s="4"/>
    </row>
    <row r="37" customFormat="false" ht="15" hidden="false" customHeight="false" outlineLevel="0" collapsed="false">
      <c r="A37" s="4"/>
      <c r="B37" s="4"/>
      <c r="C37" s="4"/>
      <c r="D37" s="8"/>
      <c r="E37" s="8"/>
      <c r="F37" s="8"/>
      <c r="G37" s="4"/>
      <c r="H37" s="4"/>
      <c r="I37" s="4"/>
      <c r="J37" s="4"/>
    </row>
    <row r="38" customFormat="false" ht="15" hidden="false" customHeight="false" outlineLevel="0" collapsed="false">
      <c r="A38" s="4"/>
      <c r="B38" s="4"/>
      <c r="C38" s="4"/>
      <c r="D38" s="8"/>
      <c r="E38" s="8"/>
      <c r="F38" s="8"/>
      <c r="G38" s="4"/>
      <c r="H38" s="4"/>
      <c r="I38" s="4"/>
      <c r="J38" s="4"/>
    </row>
    <row r="39" customFormat="false" ht="15" hidden="false" customHeight="false" outlineLevel="0" collapsed="false">
      <c r="A39" s="4"/>
      <c r="B39" s="4"/>
      <c r="C39" s="4"/>
      <c r="D39" s="8"/>
      <c r="E39" s="8"/>
      <c r="F39" s="8"/>
      <c r="G39" s="4"/>
      <c r="H39" s="4"/>
      <c r="I39" s="4"/>
      <c r="J39" s="4"/>
    </row>
    <row r="40" customFormat="false" ht="15" hidden="false" customHeight="false" outlineLevel="0" collapsed="false">
      <c r="A40" s="4"/>
      <c r="B40" s="4"/>
      <c r="C40" s="4"/>
      <c r="D40" s="8"/>
      <c r="E40" s="8"/>
      <c r="F40" s="8"/>
      <c r="G40" s="4"/>
      <c r="H40" s="4"/>
      <c r="I40" s="4"/>
      <c r="J40" s="4"/>
    </row>
    <row r="41" customFormat="false" ht="15" hidden="false" customHeight="false" outlineLevel="0" collapsed="false">
      <c r="A41" s="4"/>
      <c r="B41" s="4"/>
      <c r="C41" s="4"/>
      <c r="D41" s="8"/>
      <c r="E41" s="8"/>
      <c r="F41" s="8"/>
      <c r="G41" s="4"/>
      <c r="H41" s="4"/>
      <c r="I41" s="4"/>
      <c r="J41" s="4"/>
    </row>
    <row r="42" customFormat="false" ht="15" hidden="false" customHeight="false" outlineLevel="0" collapsed="false">
      <c r="A42" s="4"/>
      <c r="B42" s="4"/>
      <c r="C42" s="4"/>
      <c r="D42" s="8"/>
      <c r="E42" s="8"/>
      <c r="F42" s="8"/>
      <c r="G42" s="4"/>
      <c r="H42" s="4"/>
      <c r="I42" s="4"/>
      <c r="J42" s="4"/>
    </row>
    <row r="43" customFormat="false" ht="15" hidden="false" customHeight="false" outlineLevel="0" collapsed="false">
      <c r="A43" s="4"/>
      <c r="B43" s="4"/>
      <c r="C43" s="4"/>
      <c r="D43" s="8"/>
      <c r="E43" s="8"/>
      <c r="F43" s="8"/>
      <c r="G43" s="4"/>
      <c r="H43" s="4"/>
      <c r="I43" s="4"/>
      <c r="J43" s="4"/>
    </row>
    <row r="44" customFormat="false" ht="15" hidden="false" customHeight="false" outlineLevel="0" collapsed="false">
      <c r="A44" s="4"/>
      <c r="B44" s="4"/>
      <c r="C44" s="4"/>
      <c r="D44" s="8"/>
      <c r="E44" s="8"/>
      <c r="F44" s="8"/>
      <c r="G44" s="4"/>
      <c r="H44" s="4"/>
      <c r="I44" s="4"/>
      <c r="J44" s="4"/>
    </row>
  </sheetData>
  <mergeCells count="1">
    <mergeCell ref="A1:J1"/>
  </mergeCells>
  <dataValidations count="1">
    <dataValidation allowBlank="false" errorStyle="stop" operator="between" showDropDown="false" showErrorMessage="false" showInputMessage="false" sqref="H5:H44" type="list">
      <formula1>"未開始,規劃中,進行中,待確認,已完成,暫停,取消"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7265625" defaultRowHeight="15" zeroHeight="false" outlineLevelRow="0" outlineLevelCol="0"/>
  <cols>
    <col collapsed="false" customWidth="true" hidden="false" outlineLevel="0" max="1" min="1" style="0" width="10.99"/>
    <col collapsed="false" customWidth="true" hidden="false" outlineLevel="0" max="4" min="2" style="0" width="13.19"/>
    <col collapsed="false" customWidth="true" hidden="false" outlineLevel="0" max="9" min="5" style="0" width="26.38"/>
    <col collapsed="false" customWidth="true" hidden="false" outlineLevel="0" max="11" min="10" style="0" width="13.19"/>
  </cols>
  <sheetData>
    <row r="1" customFormat="false" ht="30" hidden="false" customHeight="true" outlineLevel="0" collapsed="false">
      <c r="A1" s="1" t="s">
        <v>112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4" customFormat="false" ht="24" hidden="false" customHeight="true" outlineLevel="0" collapsed="false">
      <c r="A4" s="2" t="s">
        <v>113</v>
      </c>
      <c r="B4" s="2" t="s">
        <v>114</v>
      </c>
      <c r="C4" s="2" t="s">
        <v>115</v>
      </c>
      <c r="D4" s="2" t="s">
        <v>116</v>
      </c>
      <c r="E4" s="2" t="s">
        <v>117</v>
      </c>
      <c r="F4" s="2" t="s">
        <v>118</v>
      </c>
      <c r="G4" s="2" t="s">
        <v>119</v>
      </c>
      <c r="H4" s="2" t="s">
        <v>120</v>
      </c>
      <c r="I4" s="2" t="s">
        <v>121</v>
      </c>
      <c r="J4" s="2" t="s">
        <v>122</v>
      </c>
      <c r="K4" s="2" t="s">
        <v>63</v>
      </c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customFormat="false" ht="15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customFormat="false" ht="15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customFormat="false" ht="15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customFormat="false" ht="15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customFormat="false" ht="15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customFormat="false" ht="15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customFormat="false" ht="15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customFormat="false" ht="15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customFormat="false" ht="15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customFormat="false" ht="15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customFormat="false" ht="15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customFormat="false" ht="15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customFormat="false" ht="15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customFormat="false" ht="15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customFormat="false" ht="15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customFormat="false" ht="15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customFormat="false" ht="15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customFormat="false" ht="15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customFormat="false" ht="15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customFormat="false" ht="15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customFormat="false" ht="15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customFormat="false" ht="15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customFormat="false" ht="15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</sheetData>
  <mergeCells count="1">
    <mergeCell ref="A1:K1"/>
  </mergeCells>
  <dataValidations count="4">
    <dataValidation allowBlank="false" errorStyle="stop" operator="between" showDropDown="false" showErrorMessage="false" showInputMessage="false" sqref="K5:K64" type="list">
      <formula1>"未開始,規劃中,進行中,待確認,已完成,暫停,取消"</formula1>
      <formula2>0</formula2>
    </dataValidation>
    <dataValidation allowBlank="false" errorStyle="stop" operator="between" showDropDown="false" showErrorMessage="false" showInputMessage="false" sqref="B5:B64" type="list">
      <formula1>"電源,通訊,馬達/伺服,軟體,機構,感測器,安全線,人員安全,其他"</formula1>
      <formula2>0</formula2>
    </dataValidation>
    <dataValidation allowBlank="false" errorStyle="stop" operator="between" showDropDown="false" showErrorMessage="false" showInputMessage="false" sqref="C5:C64" type="list">
      <formula1>"高,中,低"</formula1>
      <formula2>0</formula2>
    </dataValidation>
    <dataValidation allowBlank="false" errorStyle="stop" operator="between" showDropDown="false" showErrorMessage="false" showInputMessage="false" sqref="D5:D64" type="list">
      <formula1>"高,中,低"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1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1" activeCellId="0" sqref="A1"/>
    </sheetView>
  </sheetViews>
  <sheetFormatPr defaultColWidth="9.47265625" defaultRowHeight="15" zeroHeight="false" outlineLevelRow="0" outlineLevelCol="0"/>
  <cols>
    <col collapsed="false" customWidth="true" hidden="false" outlineLevel="0" max="1" min="1" style="0" width="10.99"/>
    <col collapsed="false" customWidth="true" hidden="false" outlineLevel="0" max="3" min="2" style="0" width="19.79"/>
    <col collapsed="false" customWidth="true" hidden="false" outlineLevel="0" max="6" min="4" style="0" width="14.29"/>
    <col collapsed="false" customWidth="true" hidden="false" outlineLevel="0" max="7" min="7" style="0" width="19.79"/>
    <col collapsed="false" customWidth="true" hidden="false" outlineLevel="0" max="8" min="8" style="0" width="13.19"/>
    <col collapsed="false" customWidth="true" hidden="false" outlineLevel="0" max="9" min="9" style="0" width="26.38"/>
  </cols>
  <sheetData>
    <row r="1" customFormat="false" ht="30" hidden="false" customHeight="true" outlineLevel="0" collapsed="false">
      <c r="A1" s="1" t="s">
        <v>123</v>
      </c>
      <c r="B1" s="1"/>
      <c r="C1" s="1"/>
      <c r="D1" s="1"/>
      <c r="E1" s="1"/>
      <c r="F1" s="1"/>
      <c r="G1" s="1"/>
      <c r="H1" s="1"/>
      <c r="I1" s="1"/>
    </row>
    <row r="3" customFormat="false" ht="24" hidden="false" customHeight="true" outlineLevel="0" collapsed="false">
      <c r="A3" s="2" t="s">
        <v>124</v>
      </c>
      <c r="B3" s="2" t="s">
        <v>125</v>
      </c>
      <c r="C3" s="2" t="s">
        <v>70</v>
      </c>
      <c r="D3" s="2" t="s">
        <v>88</v>
      </c>
    </row>
    <row r="4" customFormat="false" ht="32.8" hidden="false" customHeight="false" outlineLevel="0" collapsed="false">
      <c r="A4" s="5" t="s">
        <v>126</v>
      </c>
      <c r="B4" s="9"/>
      <c r="C4" s="4" t="s">
        <v>127</v>
      </c>
      <c r="D4" s="4" t="s">
        <v>93</v>
      </c>
    </row>
    <row r="5" customFormat="false" ht="17.15" hidden="false" customHeight="false" outlineLevel="0" collapsed="false">
      <c r="A5" s="5" t="s">
        <v>128</v>
      </c>
      <c r="B5" s="9"/>
      <c r="C5" s="4" t="s">
        <v>127</v>
      </c>
      <c r="D5" s="4" t="s">
        <v>93</v>
      </c>
    </row>
    <row r="6" customFormat="false" ht="32.8" hidden="false" customHeight="false" outlineLevel="0" collapsed="false">
      <c r="A6" s="5" t="s">
        <v>129</v>
      </c>
      <c r="B6" s="9"/>
      <c r="C6" s="4" t="s">
        <v>127</v>
      </c>
      <c r="D6" s="4" t="s">
        <v>130</v>
      </c>
    </row>
    <row r="7" customFormat="false" ht="17.15" hidden="false" customHeight="false" outlineLevel="0" collapsed="false">
      <c r="A7" s="5" t="s">
        <v>131</v>
      </c>
      <c r="B7" s="9" t="n">
        <f aca="false">SUM(B4:B6)</f>
        <v>0</v>
      </c>
      <c r="C7" s="4" t="s">
        <v>127</v>
      </c>
      <c r="D7" s="4" t="s">
        <v>132</v>
      </c>
    </row>
    <row r="8" customFormat="false" ht="32.8" hidden="false" customHeight="false" outlineLevel="0" collapsed="false">
      <c r="A8" s="5" t="s">
        <v>133</v>
      </c>
      <c r="B8" s="9"/>
      <c r="C8" s="4" t="s">
        <v>127</v>
      </c>
      <c r="D8" s="4" t="s">
        <v>134</v>
      </c>
    </row>
    <row r="9" customFormat="false" ht="32.8" hidden="false" customHeight="false" outlineLevel="0" collapsed="false">
      <c r="A9" s="5" t="s">
        <v>135</v>
      </c>
      <c r="B9" s="9"/>
      <c r="C9" s="4" t="s">
        <v>136</v>
      </c>
      <c r="D9" s="4" t="s">
        <v>137</v>
      </c>
    </row>
    <row r="12" customFormat="false" ht="24" hidden="false" customHeight="true" outlineLevel="0" collapsed="false">
      <c r="A12" s="2" t="s">
        <v>138</v>
      </c>
      <c r="B12" s="2" t="s">
        <v>125</v>
      </c>
      <c r="C12" s="2" t="s">
        <v>70</v>
      </c>
      <c r="D12" s="2" t="s">
        <v>88</v>
      </c>
    </row>
    <row r="13" customFormat="false" ht="48.5" hidden="false" customHeight="false" outlineLevel="0" collapsed="false">
      <c r="A13" s="5" t="s">
        <v>139</v>
      </c>
      <c r="B13" s="10"/>
      <c r="C13" s="4" t="s">
        <v>140</v>
      </c>
      <c r="D13" s="4" t="s">
        <v>141</v>
      </c>
    </row>
    <row r="14" customFormat="false" ht="32.8" hidden="false" customHeight="false" outlineLevel="0" collapsed="false">
      <c r="A14" s="5" t="s">
        <v>142</v>
      </c>
      <c r="B14" s="10"/>
      <c r="C14" s="4" t="s">
        <v>143</v>
      </c>
      <c r="D14" s="4" t="s">
        <v>144</v>
      </c>
    </row>
    <row r="15" customFormat="false" ht="17.15" hidden="false" customHeight="false" outlineLevel="0" collapsed="false">
      <c r="A15" s="5" t="s">
        <v>145</v>
      </c>
      <c r="B15" s="10" t="n">
        <f aca="false">B13*B14</f>
        <v>0</v>
      </c>
      <c r="C15" s="4" t="s">
        <v>146</v>
      </c>
      <c r="D15" s="4" t="s">
        <v>132</v>
      </c>
    </row>
    <row r="16" customFormat="false" ht="32.8" hidden="false" customHeight="false" outlineLevel="0" collapsed="false">
      <c r="A16" s="5" t="s">
        <v>147</v>
      </c>
      <c r="B16" s="11"/>
      <c r="C16" s="4" t="s">
        <v>148</v>
      </c>
      <c r="D16" s="4" t="s">
        <v>149</v>
      </c>
    </row>
    <row r="17" customFormat="false" ht="32.8" hidden="false" customHeight="false" outlineLevel="0" collapsed="false">
      <c r="A17" s="5" t="s">
        <v>150</v>
      </c>
      <c r="B17" s="10"/>
      <c r="C17" s="4" t="s">
        <v>151</v>
      </c>
      <c r="D17" s="4" t="s">
        <v>152</v>
      </c>
    </row>
    <row r="18" customFormat="false" ht="32.8" hidden="false" customHeight="false" outlineLevel="0" collapsed="false">
      <c r="A18" s="5" t="s">
        <v>153</v>
      </c>
      <c r="B18" s="10" t="str">
        <f aca="false">IF(OR(B15="",B16="",B17=""),"",B15*B16/B17)</f>
        <v/>
      </c>
      <c r="C18" s="4" t="s">
        <v>154</v>
      </c>
      <c r="D18" s="4" t="s">
        <v>155</v>
      </c>
    </row>
    <row r="21" customFormat="false" ht="24" hidden="false" customHeight="true" outlineLevel="0" collapsed="false">
      <c r="A21" s="2" t="s">
        <v>156</v>
      </c>
      <c r="B21" s="2" t="s">
        <v>96</v>
      </c>
      <c r="C21" s="2" t="s">
        <v>97</v>
      </c>
      <c r="D21" s="2" t="s">
        <v>69</v>
      </c>
      <c r="E21" s="2" t="s">
        <v>157</v>
      </c>
      <c r="F21" s="2" t="s">
        <v>158</v>
      </c>
      <c r="G21" s="2" t="s">
        <v>71</v>
      </c>
      <c r="H21" s="2" t="s">
        <v>159</v>
      </c>
      <c r="I21" s="2" t="s">
        <v>24</v>
      </c>
    </row>
    <row r="22" customFormat="false" ht="15" hidden="false" customHeight="false" outlineLevel="0" collapsed="false">
      <c r="A22" s="4"/>
      <c r="B22" s="4"/>
      <c r="C22" s="4"/>
      <c r="D22" s="9"/>
      <c r="E22" s="9"/>
      <c r="F22" s="9" t="str">
        <f aca="false">IF(OR(D22="",E22=""),"",D22*E22)</f>
        <v/>
      </c>
      <c r="G22" s="4"/>
      <c r="H22" s="10"/>
      <c r="I22" s="4"/>
    </row>
    <row r="23" customFormat="false" ht="15" hidden="false" customHeight="false" outlineLevel="0" collapsed="false">
      <c r="A23" s="4"/>
      <c r="B23" s="4"/>
      <c r="C23" s="4"/>
      <c r="D23" s="9"/>
      <c r="E23" s="9"/>
      <c r="F23" s="9" t="str">
        <f aca="false">IF(OR(D23="",E23=""),"",D23*E23)</f>
        <v/>
      </c>
      <c r="G23" s="4"/>
      <c r="H23" s="10"/>
      <c r="I23" s="4"/>
    </row>
    <row r="24" customFormat="false" ht="15" hidden="false" customHeight="false" outlineLevel="0" collapsed="false">
      <c r="A24" s="4"/>
      <c r="B24" s="4"/>
      <c r="C24" s="4"/>
      <c r="D24" s="9"/>
      <c r="E24" s="9"/>
      <c r="F24" s="9" t="str">
        <f aca="false">IF(OR(D24="",E24=""),"",D24*E24)</f>
        <v/>
      </c>
      <c r="G24" s="4"/>
      <c r="H24" s="10"/>
      <c r="I24" s="4"/>
    </row>
    <row r="25" customFormat="false" ht="15" hidden="false" customHeight="false" outlineLevel="0" collapsed="false">
      <c r="A25" s="4"/>
      <c r="B25" s="4"/>
      <c r="C25" s="4"/>
      <c r="D25" s="9"/>
      <c r="E25" s="9"/>
      <c r="F25" s="9" t="str">
        <f aca="false">IF(OR(D25="",E25=""),"",D25*E25)</f>
        <v/>
      </c>
      <c r="G25" s="4"/>
      <c r="H25" s="10"/>
      <c r="I25" s="4"/>
    </row>
    <row r="26" customFormat="false" ht="15" hidden="false" customHeight="false" outlineLevel="0" collapsed="false">
      <c r="A26" s="4"/>
      <c r="B26" s="4"/>
      <c r="C26" s="4"/>
      <c r="D26" s="9"/>
      <c r="E26" s="9"/>
      <c r="F26" s="9" t="str">
        <f aca="false">IF(OR(D26="",E26=""),"",D26*E26)</f>
        <v/>
      </c>
      <c r="G26" s="4"/>
      <c r="H26" s="10"/>
      <c r="I26" s="4"/>
    </row>
    <row r="27" customFormat="false" ht="15" hidden="false" customHeight="false" outlineLevel="0" collapsed="false">
      <c r="A27" s="4"/>
      <c r="B27" s="4"/>
      <c r="C27" s="4"/>
      <c r="D27" s="9"/>
      <c r="E27" s="9"/>
      <c r="F27" s="9" t="str">
        <f aca="false">IF(OR(D27="",E27=""),"",D27*E27)</f>
        <v/>
      </c>
      <c r="G27" s="4"/>
      <c r="H27" s="10"/>
      <c r="I27" s="4"/>
    </row>
    <row r="28" customFormat="false" ht="15" hidden="false" customHeight="false" outlineLevel="0" collapsed="false">
      <c r="A28" s="4"/>
      <c r="B28" s="4"/>
      <c r="C28" s="4"/>
      <c r="D28" s="9"/>
      <c r="E28" s="9"/>
      <c r="F28" s="9" t="str">
        <f aca="false">IF(OR(D28="",E28=""),"",D28*E28)</f>
        <v/>
      </c>
      <c r="G28" s="4"/>
      <c r="H28" s="10"/>
      <c r="I28" s="4"/>
    </row>
    <row r="29" customFormat="false" ht="15" hidden="false" customHeight="false" outlineLevel="0" collapsed="false">
      <c r="A29" s="4"/>
      <c r="B29" s="4"/>
      <c r="C29" s="4"/>
      <c r="D29" s="9"/>
      <c r="E29" s="9"/>
      <c r="F29" s="9" t="str">
        <f aca="false">IF(OR(D29="",E29=""),"",D29*E29)</f>
        <v/>
      </c>
      <c r="G29" s="4"/>
      <c r="H29" s="10"/>
      <c r="I29" s="4"/>
    </row>
    <row r="30" customFormat="false" ht="15" hidden="false" customHeight="false" outlineLevel="0" collapsed="false">
      <c r="A30" s="4"/>
      <c r="B30" s="4"/>
      <c r="C30" s="4"/>
      <c r="D30" s="9"/>
      <c r="E30" s="9"/>
      <c r="F30" s="9" t="str">
        <f aca="false">IF(OR(D30="",E30=""),"",D30*E30)</f>
        <v/>
      </c>
      <c r="G30" s="4"/>
      <c r="H30" s="10"/>
      <c r="I30" s="4"/>
    </row>
    <row r="31" customFormat="false" ht="15" hidden="false" customHeight="false" outlineLevel="0" collapsed="false">
      <c r="A31" s="4"/>
      <c r="B31" s="4"/>
      <c r="C31" s="4"/>
      <c r="D31" s="9"/>
      <c r="E31" s="9"/>
      <c r="F31" s="9" t="str">
        <f aca="false">IF(OR(D31="",E31=""),"",D31*E31)</f>
        <v/>
      </c>
      <c r="G31" s="4"/>
      <c r="H31" s="10"/>
      <c r="I31" s="4"/>
    </row>
    <row r="32" customFormat="false" ht="15" hidden="false" customHeight="false" outlineLevel="0" collapsed="false">
      <c r="A32" s="4"/>
      <c r="B32" s="4"/>
      <c r="C32" s="4"/>
      <c r="D32" s="9"/>
      <c r="E32" s="9"/>
      <c r="F32" s="9" t="str">
        <f aca="false">IF(OR(D32="",E32=""),"",D32*E32)</f>
        <v/>
      </c>
      <c r="G32" s="4"/>
      <c r="H32" s="10"/>
      <c r="I32" s="4"/>
    </row>
    <row r="33" customFormat="false" ht="15" hidden="false" customHeight="false" outlineLevel="0" collapsed="false">
      <c r="A33" s="4"/>
      <c r="B33" s="4"/>
      <c r="C33" s="4"/>
      <c r="D33" s="9"/>
      <c r="E33" s="9"/>
      <c r="F33" s="9" t="str">
        <f aca="false">IF(OR(D33="",E33=""),"",D33*E33)</f>
        <v/>
      </c>
      <c r="G33" s="4"/>
      <c r="H33" s="10"/>
      <c r="I33" s="4"/>
    </row>
    <row r="34" customFormat="false" ht="15" hidden="false" customHeight="false" outlineLevel="0" collapsed="false">
      <c r="A34" s="4"/>
      <c r="B34" s="4"/>
      <c r="C34" s="4"/>
      <c r="D34" s="9"/>
      <c r="E34" s="9"/>
      <c r="F34" s="9" t="str">
        <f aca="false">IF(OR(D34="",E34=""),"",D34*E34)</f>
        <v/>
      </c>
      <c r="G34" s="4"/>
      <c r="H34" s="10"/>
      <c r="I34" s="4"/>
    </row>
    <row r="35" customFormat="false" ht="15" hidden="false" customHeight="false" outlineLevel="0" collapsed="false">
      <c r="A35" s="4"/>
      <c r="B35" s="4"/>
      <c r="C35" s="4"/>
      <c r="D35" s="9"/>
      <c r="E35" s="9"/>
      <c r="F35" s="9" t="str">
        <f aca="false">IF(OR(D35="",E35=""),"",D35*E35)</f>
        <v/>
      </c>
      <c r="G35" s="4"/>
      <c r="H35" s="10"/>
      <c r="I35" s="4"/>
    </row>
    <row r="36" customFormat="false" ht="15" hidden="false" customHeight="false" outlineLevel="0" collapsed="false">
      <c r="A36" s="4"/>
      <c r="B36" s="4"/>
      <c r="C36" s="4"/>
      <c r="D36" s="9"/>
      <c r="E36" s="9"/>
      <c r="F36" s="9" t="str">
        <f aca="false">IF(OR(D36="",E36=""),"",D36*E36)</f>
        <v/>
      </c>
      <c r="G36" s="4"/>
      <c r="H36" s="10"/>
      <c r="I36" s="4"/>
    </row>
    <row r="37" customFormat="false" ht="15" hidden="false" customHeight="false" outlineLevel="0" collapsed="false">
      <c r="A37" s="4"/>
      <c r="B37" s="4"/>
      <c r="C37" s="4"/>
      <c r="D37" s="9"/>
      <c r="E37" s="9"/>
      <c r="F37" s="9" t="str">
        <f aca="false">IF(OR(D37="",E37=""),"",D37*E37)</f>
        <v/>
      </c>
      <c r="G37" s="4"/>
      <c r="H37" s="10"/>
      <c r="I37" s="4"/>
    </row>
    <row r="38" customFormat="false" ht="15" hidden="false" customHeight="false" outlineLevel="0" collapsed="false">
      <c r="A38" s="4"/>
      <c r="B38" s="4"/>
      <c r="C38" s="4"/>
      <c r="D38" s="9"/>
      <c r="E38" s="9"/>
      <c r="F38" s="9" t="str">
        <f aca="false">IF(OR(D38="",E38=""),"",D38*E38)</f>
        <v/>
      </c>
      <c r="G38" s="4"/>
      <c r="H38" s="10"/>
      <c r="I38" s="4"/>
    </row>
    <row r="39" customFormat="false" ht="15" hidden="false" customHeight="false" outlineLevel="0" collapsed="false">
      <c r="A39" s="4"/>
      <c r="B39" s="4"/>
      <c r="C39" s="4"/>
      <c r="D39" s="9"/>
      <c r="E39" s="9"/>
      <c r="F39" s="9" t="str">
        <f aca="false">IF(OR(D39="",E39=""),"",D39*E39)</f>
        <v/>
      </c>
      <c r="G39" s="4"/>
      <c r="H39" s="10"/>
      <c r="I39" s="4"/>
    </row>
    <row r="40" customFormat="false" ht="15" hidden="false" customHeight="false" outlineLevel="0" collapsed="false">
      <c r="A40" s="4"/>
      <c r="B40" s="4"/>
      <c r="C40" s="4"/>
      <c r="D40" s="9"/>
      <c r="E40" s="9"/>
      <c r="F40" s="9" t="str">
        <f aca="false">IF(OR(D40="",E40=""),"",D40*E40)</f>
        <v/>
      </c>
      <c r="G40" s="4"/>
      <c r="H40" s="10"/>
      <c r="I40" s="4"/>
    </row>
    <row r="41" customFormat="false" ht="15" hidden="false" customHeight="false" outlineLevel="0" collapsed="false">
      <c r="A41" s="4"/>
      <c r="B41" s="4"/>
      <c r="C41" s="4"/>
      <c r="D41" s="9"/>
      <c r="E41" s="9"/>
      <c r="F41" s="9" t="str">
        <f aca="false">IF(OR(D41="",E41=""),"",D41*E41)</f>
        <v/>
      </c>
      <c r="G41" s="4"/>
      <c r="H41" s="10"/>
      <c r="I41" s="4"/>
    </row>
    <row r="42" customFormat="false" ht="15" hidden="false" customHeight="false" outlineLevel="0" collapsed="false">
      <c r="A42" s="4"/>
      <c r="B42" s="4"/>
      <c r="C42" s="4"/>
      <c r="D42" s="9"/>
      <c r="E42" s="9"/>
      <c r="F42" s="9" t="str">
        <f aca="false">IF(OR(D42="",E42=""),"",D42*E42)</f>
        <v/>
      </c>
      <c r="G42" s="4"/>
      <c r="H42" s="10"/>
      <c r="I42" s="4"/>
    </row>
    <row r="43" customFormat="false" ht="15" hidden="false" customHeight="false" outlineLevel="0" collapsed="false">
      <c r="A43" s="4"/>
      <c r="B43" s="4"/>
      <c r="C43" s="4"/>
      <c r="D43" s="9"/>
      <c r="E43" s="9"/>
      <c r="F43" s="9" t="str">
        <f aca="false">IF(OR(D43="",E43=""),"",D43*E43)</f>
        <v/>
      </c>
      <c r="G43" s="4"/>
      <c r="H43" s="10"/>
      <c r="I43" s="4"/>
    </row>
    <row r="44" customFormat="false" ht="15" hidden="false" customHeight="false" outlineLevel="0" collapsed="false">
      <c r="A44" s="4"/>
      <c r="B44" s="4"/>
      <c r="C44" s="4"/>
      <c r="D44" s="9"/>
      <c r="E44" s="9"/>
      <c r="F44" s="9" t="str">
        <f aca="false">IF(OR(D44="",E44=""),"",D44*E44)</f>
        <v/>
      </c>
      <c r="G44" s="4"/>
      <c r="H44" s="10"/>
      <c r="I44" s="4"/>
    </row>
    <row r="45" customFormat="false" ht="15" hidden="false" customHeight="false" outlineLevel="0" collapsed="false">
      <c r="A45" s="4"/>
      <c r="B45" s="4"/>
      <c r="C45" s="4"/>
      <c r="D45" s="9"/>
      <c r="E45" s="9"/>
      <c r="F45" s="9" t="str">
        <f aca="false">IF(OR(D45="",E45=""),"",D45*E45)</f>
        <v/>
      </c>
      <c r="G45" s="4"/>
      <c r="H45" s="10"/>
      <c r="I45" s="4"/>
    </row>
    <row r="46" customFormat="false" ht="15" hidden="false" customHeight="false" outlineLevel="0" collapsed="false">
      <c r="A46" s="4"/>
      <c r="B46" s="4"/>
      <c r="C46" s="4"/>
      <c r="D46" s="9"/>
      <c r="E46" s="9"/>
      <c r="F46" s="9" t="str">
        <f aca="false">IF(OR(D46="",E46=""),"",D46*E46)</f>
        <v/>
      </c>
      <c r="G46" s="4"/>
      <c r="H46" s="10"/>
      <c r="I46" s="4"/>
    </row>
    <row r="47" customFormat="false" ht="15" hidden="false" customHeight="false" outlineLevel="0" collapsed="false">
      <c r="A47" s="4"/>
      <c r="B47" s="4"/>
      <c r="C47" s="4"/>
      <c r="D47" s="9"/>
      <c r="E47" s="9"/>
      <c r="F47" s="9" t="str">
        <f aca="false">IF(OR(D47="",E47=""),"",D47*E47)</f>
        <v/>
      </c>
      <c r="G47" s="4"/>
      <c r="H47" s="10"/>
      <c r="I47" s="4"/>
    </row>
    <row r="48" customFormat="false" ht="15" hidden="false" customHeight="false" outlineLevel="0" collapsed="false">
      <c r="A48" s="4"/>
      <c r="B48" s="4"/>
      <c r="C48" s="4"/>
      <c r="D48" s="9"/>
      <c r="E48" s="9"/>
      <c r="F48" s="9" t="str">
        <f aca="false">IF(OR(D48="",E48=""),"",D48*E48)</f>
        <v/>
      </c>
      <c r="G48" s="4"/>
      <c r="H48" s="10"/>
      <c r="I48" s="4"/>
    </row>
    <row r="49" customFormat="false" ht="15" hidden="false" customHeight="false" outlineLevel="0" collapsed="false">
      <c r="A49" s="4"/>
      <c r="B49" s="4"/>
      <c r="C49" s="4"/>
      <c r="D49" s="9"/>
      <c r="E49" s="9"/>
      <c r="F49" s="9" t="str">
        <f aca="false">IF(OR(D49="",E49=""),"",D49*E49)</f>
        <v/>
      </c>
      <c r="G49" s="4"/>
      <c r="H49" s="10"/>
      <c r="I49" s="4"/>
    </row>
    <row r="50" customFormat="false" ht="15" hidden="false" customHeight="false" outlineLevel="0" collapsed="false">
      <c r="A50" s="4"/>
      <c r="B50" s="4"/>
      <c r="C50" s="4"/>
      <c r="D50" s="9"/>
      <c r="E50" s="9"/>
      <c r="F50" s="9" t="str">
        <f aca="false">IF(OR(D50="",E50=""),"",D50*E50)</f>
        <v/>
      </c>
      <c r="G50" s="4"/>
      <c r="H50" s="10"/>
      <c r="I50" s="4"/>
    </row>
    <row r="51" customFormat="false" ht="15" hidden="false" customHeight="false" outlineLevel="0" collapsed="false">
      <c r="A51" s="4"/>
      <c r="B51" s="4"/>
      <c r="C51" s="4"/>
      <c r="D51" s="9"/>
      <c r="E51" s="9"/>
      <c r="F51" s="9" t="str">
        <f aca="false">IF(OR(D51="",E51=""),"",D51*E51)</f>
        <v/>
      </c>
      <c r="G51" s="4"/>
      <c r="H51" s="10"/>
      <c r="I51" s="4"/>
    </row>
    <row r="52" customFormat="false" ht="15" hidden="false" customHeight="false" outlineLevel="0" collapsed="false">
      <c r="A52" s="4"/>
      <c r="B52" s="4"/>
      <c r="C52" s="4"/>
      <c r="D52" s="9"/>
      <c r="E52" s="9"/>
      <c r="F52" s="9" t="str">
        <f aca="false">IF(OR(D52="",E52=""),"",D52*E52)</f>
        <v/>
      </c>
      <c r="G52" s="4"/>
      <c r="H52" s="10"/>
      <c r="I52" s="4"/>
    </row>
    <row r="53" customFormat="false" ht="15" hidden="false" customHeight="false" outlineLevel="0" collapsed="false">
      <c r="A53" s="4"/>
      <c r="B53" s="4"/>
      <c r="C53" s="4"/>
      <c r="D53" s="9"/>
      <c r="E53" s="9"/>
      <c r="F53" s="9" t="str">
        <f aca="false">IF(OR(D53="",E53=""),"",D53*E53)</f>
        <v/>
      </c>
      <c r="G53" s="4"/>
      <c r="H53" s="10"/>
      <c r="I53" s="4"/>
    </row>
    <row r="54" customFormat="false" ht="15" hidden="false" customHeight="false" outlineLevel="0" collapsed="false">
      <c r="A54" s="4"/>
      <c r="B54" s="4"/>
      <c r="C54" s="4"/>
      <c r="D54" s="9"/>
      <c r="E54" s="9"/>
      <c r="F54" s="9" t="str">
        <f aca="false">IF(OR(D54="",E54=""),"",D54*E54)</f>
        <v/>
      </c>
      <c r="G54" s="4"/>
      <c r="H54" s="10"/>
      <c r="I54" s="4"/>
    </row>
    <row r="55" customFormat="false" ht="15" hidden="false" customHeight="false" outlineLevel="0" collapsed="false">
      <c r="A55" s="4"/>
      <c r="B55" s="4"/>
      <c r="C55" s="4"/>
      <c r="D55" s="9"/>
      <c r="E55" s="9"/>
      <c r="F55" s="9" t="str">
        <f aca="false">IF(OR(D55="",E55=""),"",D55*E55)</f>
        <v/>
      </c>
      <c r="G55" s="4"/>
      <c r="H55" s="10"/>
      <c r="I55" s="4"/>
    </row>
    <row r="56" customFormat="false" ht="15" hidden="false" customHeight="false" outlineLevel="0" collapsed="false">
      <c r="A56" s="4"/>
      <c r="B56" s="4"/>
      <c r="C56" s="4"/>
      <c r="D56" s="9"/>
      <c r="E56" s="9"/>
      <c r="F56" s="9" t="str">
        <f aca="false">IF(OR(D56="",E56=""),"",D56*E56)</f>
        <v/>
      </c>
      <c r="G56" s="4"/>
      <c r="H56" s="10"/>
      <c r="I56" s="4"/>
    </row>
    <row r="57" customFormat="false" ht="15" hidden="false" customHeight="false" outlineLevel="0" collapsed="false">
      <c r="A57" s="4"/>
      <c r="B57" s="4"/>
      <c r="C57" s="4"/>
      <c r="D57" s="9"/>
      <c r="E57" s="9"/>
      <c r="F57" s="9" t="str">
        <f aca="false">IF(OR(D57="",E57=""),"",D57*E57)</f>
        <v/>
      </c>
      <c r="G57" s="4"/>
      <c r="H57" s="10"/>
      <c r="I57" s="4"/>
    </row>
    <row r="58" customFormat="false" ht="15" hidden="false" customHeight="false" outlineLevel="0" collapsed="false">
      <c r="A58" s="4"/>
      <c r="B58" s="4"/>
      <c r="C58" s="4"/>
      <c r="D58" s="9"/>
      <c r="E58" s="9"/>
      <c r="F58" s="9" t="str">
        <f aca="false">IF(OR(D58="",E58=""),"",D58*E58)</f>
        <v/>
      </c>
      <c r="G58" s="4"/>
      <c r="H58" s="10"/>
      <c r="I58" s="4"/>
    </row>
    <row r="59" customFormat="false" ht="15" hidden="false" customHeight="false" outlineLevel="0" collapsed="false">
      <c r="A59" s="4"/>
      <c r="B59" s="4"/>
      <c r="C59" s="4"/>
      <c r="D59" s="9"/>
      <c r="E59" s="9"/>
      <c r="F59" s="9" t="str">
        <f aca="false">IF(OR(D59="",E59=""),"",D59*E59)</f>
        <v/>
      </c>
      <c r="G59" s="4"/>
      <c r="H59" s="10"/>
      <c r="I59" s="4"/>
    </row>
    <row r="60" customFormat="false" ht="15" hidden="false" customHeight="false" outlineLevel="0" collapsed="false">
      <c r="A60" s="4"/>
      <c r="B60" s="4"/>
      <c r="C60" s="4"/>
      <c r="D60" s="9"/>
      <c r="E60" s="9"/>
      <c r="F60" s="9" t="str">
        <f aca="false">IF(OR(D60="",E60=""),"",D60*E60)</f>
        <v/>
      </c>
      <c r="G60" s="4"/>
      <c r="H60" s="10"/>
      <c r="I60" s="4"/>
    </row>
    <row r="61" customFormat="false" ht="15" hidden="false" customHeight="false" outlineLevel="0" collapsed="false">
      <c r="A61" s="4"/>
      <c r="B61" s="4"/>
      <c r="C61" s="4"/>
      <c r="D61" s="9"/>
      <c r="E61" s="9"/>
      <c r="F61" s="9" t="str">
        <f aca="false">IF(OR(D61="",E61=""),"",D61*E61)</f>
        <v/>
      </c>
      <c r="G61" s="4"/>
      <c r="H61" s="10"/>
      <c r="I61" s="4"/>
    </row>
    <row r="62" customFormat="false" ht="15" hidden="false" customHeight="false" outlineLevel="0" collapsed="false">
      <c r="A62" s="4"/>
      <c r="B62" s="4"/>
      <c r="C62" s="4"/>
      <c r="D62" s="9"/>
      <c r="E62" s="9"/>
      <c r="F62" s="9" t="str">
        <f aca="false">IF(OR(D62="",E62=""),"",D62*E62)</f>
        <v/>
      </c>
      <c r="G62" s="4"/>
      <c r="H62" s="10"/>
      <c r="I62" s="4"/>
    </row>
    <row r="63" customFormat="false" ht="15" hidden="false" customHeight="false" outlineLevel="0" collapsed="false">
      <c r="A63" s="4"/>
      <c r="B63" s="4"/>
      <c r="C63" s="4"/>
      <c r="D63" s="9"/>
      <c r="E63" s="9"/>
      <c r="F63" s="9" t="str">
        <f aca="false">IF(OR(D63="",E63=""),"",D63*E63)</f>
        <v/>
      </c>
      <c r="G63" s="4"/>
      <c r="H63" s="10"/>
      <c r="I63" s="4"/>
    </row>
    <row r="64" customFormat="false" ht="15" hidden="false" customHeight="false" outlineLevel="0" collapsed="false">
      <c r="A64" s="4"/>
      <c r="B64" s="4"/>
      <c r="C64" s="4"/>
      <c r="D64" s="9"/>
      <c r="E64" s="9"/>
      <c r="F64" s="9" t="str">
        <f aca="false">IF(OR(D64="",E64=""),"",D64*E64)</f>
        <v/>
      </c>
      <c r="G64" s="4"/>
      <c r="H64" s="10"/>
      <c r="I64" s="4"/>
    </row>
    <row r="65" customFormat="false" ht="15" hidden="false" customHeight="false" outlineLevel="0" collapsed="false">
      <c r="A65" s="4"/>
      <c r="B65" s="4"/>
      <c r="C65" s="4"/>
      <c r="D65" s="9"/>
      <c r="E65" s="9"/>
      <c r="F65" s="9" t="str">
        <f aca="false">IF(OR(D65="",E65=""),"",D65*E65)</f>
        <v/>
      </c>
      <c r="G65" s="4"/>
      <c r="H65" s="10"/>
      <c r="I65" s="4"/>
    </row>
    <row r="66" customFormat="false" ht="15" hidden="false" customHeight="false" outlineLevel="0" collapsed="false">
      <c r="A66" s="4"/>
      <c r="B66" s="4"/>
      <c r="C66" s="4"/>
      <c r="D66" s="9"/>
      <c r="E66" s="9"/>
      <c r="F66" s="9" t="str">
        <f aca="false">IF(OR(D66="",E66=""),"",D66*E66)</f>
        <v/>
      </c>
      <c r="G66" s="4"/>
      <c r="H66" s="10"/>
      <c r="I66" s="4"/>
    </row>
    <row r="67" customFormat="false" ht="15" hidden="false" customHeight="false" outlineLevel="0" collapsed="false">
      <c r="A67" s="4"/>
      <c r="B67" s="4"/>
      <c r="C67" s="4"/>
      <c r="D67" s="9"/>
      <c r="E67" s="9"/>
      <c r="F67" s="9" t="str">
        <f aca="false">IF(OR(D67="",E67=""),"",D67*E67)</f>
        <v/>
      </c>
      <c r="G67" s="4"/>
      <c r="H67" s="10"/>
      <c r="I67" s="4"/>
    </row>
    <row r="68" customFormat="false" ht="15" hidden="false" customHeight="false" outlineLevel="0" collapsed="false">
      <c r="A68" s="4"/>
      <c r="B68" s="4"/>
      <c r="C68" s="4"/>
      <c r="D68" s="9"/>
      <c r="E68" s="9"/>
      <c r="F68" s="9" t="str">
        <f aca="false">IF(OR(D68="",E68=""),"",D68*E68)</f>
        <v/>
      </c>
      <c r="G68" s="4"/>
      <c r="H68" s="10"/>
      <c r="I68" s="4"/>
    </row>
    <row r="69" customFormat="false" ht="15" hidden="false" customHeight="false" outlineLevel="0" collapsed="false">
      <c r="A69" s="4"/>
      <c r="B69" s="4"/>
      <c r="C69" s="4"/>
      <c r="D69" s="9"/>
      <c r="E69" s="9"/>
      <c r="F69" s="9" t="str">
        <f aca="false">IF(OR(D69="",E69=""),"",D69*E69)</f>
        <v/>
      </c>
      <c r="G69" s="4"/>
      <c r="H69" s="10"/>
      <c r="I69" s="4"/>
    </row>
    <row r="70" customFormat="false" ht="15" hidden="false" customHeight="false" outlineLevel="0" collapsed="false">
      <c r="A70" s="4"/>
      <c r="B70" s="4"/>
      <c r="C70" s="4"/>
      <c r="D70" s="9"/>
      <c r="E70" s="9"/>
      <c r="F70" s="9" t="str">
        <f aca="false">IF(OR(D70="",E70=""),"",D70*E70)</f>
        <v/>
      </c>
      <c r="G70" s="4"/>
      <c r="H70" s="10"/>
      <c r="I70" s="4"/>
    </row>
    <row r="71" customFormat="false" ht="15" hidden="false" customHeight="false" outlineLevel="0" collapsed="false">
      <c r="A71" s="4"/>
      <c r="B71" s="4"/>
      <c r="C71" s="4"/>
      <c r="D71" s="9"/>
      <c r="E71" s="9"/>
      <c r="F71" s="9" t="str">
        <f aca="false">IF(OR(D71="",E71=""),"",D71*E71)</f>
        <v/>
      </c>
      <c r="G71" s="4"/>
      <c r="H71" s="10"/>
      <c r="I71" s="4"/>
    </row>
    <row r="72" customFormat="false" ht="15" hidden="false" customHeight="false" outlineLevel="0" collapsed="false">
      <c r="A72" s="4"/>
      <c r="B72" s="4"/>
      <c r="C72" s="4"/>
      <c r="D72" s="9"/>
      <c r="E72" s="9"/>
      <c r="F72" s="9" t="str">
        <f aca="false">IF(OR(D72="",E72=""),"",D72*E72)</f>
        <v/>
      </c>
      <c r="G72" s="4"/>
      <c r="H72" s="10"/>
      <c r="I72" s="4"/>
    </row>
    <row r="73" customFormat="false" ht="15" hidden="false" customHeight="false" outlineLevel="0" collapsed="false">
      <c r="A73" s="4"/>
      <c r="B73" s="4"/>
      <c r="C73" s="4"/>
      <c r="D73" s="9"/>
      <c r="E73" s="9"/>
      <c r="F73" s="9" t="str">
        <f aca="false">IF(OR(D73="",E73=""),"",D73*E73)</f>
        <v/>
      </c>
      <c r="G73" s="4"/>
      <c r="H73" s="10"/>
      <c r="I73" s="4"/>
    </row>
    <row r="74" customFormat="false" ht="15" hidden="false" customHeight="false" outlineLevel="0" collapsed="false">
      <c r="A74" s="4"/>
      <c r="B74" s="4"/>
      <c r="C74" s="4"/>
      <c r="D74" s="9"/>
      <c r="E74" s="9"/>
      <c r="F74" s="9" t="str">
        <f aca="false">IF(OR(D74="",E74=""),"",D74*E74)</f>
        <v/>
      </c>
      <c r="G74" s="4"/>
      <c r="H74" s="10"/>
      <c r="I74" s="4"/>
    </row>
    <row r="75" customFormat="false" ht="15" hidden="false" customHeight="false" outlineLevel="0" collapsed="false">
      <c r="A75" s="4"/>
      <c r="B75" s="4"/>
      <c r="C75" s="4"/>
      <c r="D75" s="9"/>
      <c r="E75" s="9"/>
      <c r="F75" s="9" t="str">
        <f aca="false">IF(OR(D75="",E75=""),"",D75*E75)</f>
        <v/>
      </c>
      <c r="G75" s="4"/>
      <c r="H75" s="10"/>
      <c r="I75" s="4"/>
    </row>
    <row r="76" customFormat="false" ht="15" hidden="false" customHeight="false" outlineLevel="0" collapsed="false">
      <c r="A76" s="4"/>
      <c r="B76" s="4"/>
      <c r="C76" s="4"/>
      <c r="D76" s="9"/>
      <c r="E76" s="9"/>
      <c r="F76" s="9" t="str">
        <f aca="false">IF(OR(D76="",E76=""),"",D76*E76)</f>
        <v/>
      </c>
      <c r="G76" s="4"/>
      <c r="H76" s="10"/>
      <c r="I76" s="4"/>
    </row>
    <row r="77" customFormat="false" ht="15" hidden="false" customHeight="false" outlineLevel="0" collapsed="false">
      <c r="A77" s="4"/>
      <c r="B77" s="4"/>
      <c r="C77" s="4"/>
      <c r="D77" s="9"/>
      <c r="E77" s="9"/>
      <c r="F77" s="9" t="str">
        <f aca="false">IF(OR(D77="",E77=""),"",D77*E77)</f>
        <v/>
      </c>
      <c r="G77" s="4"/>
      <c r="H77" s="10"/>
      <c r="I77" s="4"/>
    </row>
    <row r="78" customFormat="false" ht="15" hidden="false" customHeight="false" outlineLevel="0" collapsed="false">
      <c r="A78" s="4"/>
      <c r="B78" s="4"/>
      <c r="C78" s="4"/>
      <c r="D78" s="9"/>
      <c r="E78" s="9"/>
      <c r="F78" s="9" t="str">
        <f aca="false">IF(OR(D78="",E78=""),"",D78*E78)</f>
        <v/>
      </c>
      <c r="G78" s="4"/>
      <c r="H78" s="10"/>
      <c r="I78" s="4"/>
    </row>
    <row r="79" customFormat="false" ht="15" hidden="false" customHeight="false" outlineLevel="0" collapsed="false">
      <c r="A79" s="4"/>
      <c r="B79" s="4"/>
      <c r="C79" s="4"/>
      <c r="D79" s="9"/>
      <c r="E79" s="9"/>
      <c r="F79" s="9" t="str">
        <f aca="false">IF(OR(D79="",E79=""),"",D79*E79)</f>
        <v/>
      </c>
      <c r="G79" s="4"/>
      <c r="H79" s="10"/>
      <c r="I79" s="4"/>
    </row>
    <row r="80" customFormat="false" ht="15" hidden="false" customHeight="false" outlineLevel="0" collapsed="false">
      <c r="A80" s="4"/>
      <c r="B80" s="4"/>
      <c r="C80" s="4"/>
      <c r="D80" s="9"/>
      <c r="E80" s="9"/>
      <c r="F80" s="9" t="str">
        <f aca="false">IF(OR(D80="",E80=""),"",D80*E80)</f>
        <v/>
      </c>
      <c r="G80" s="4"/>
      <c r="H80" s="10"/>
      <c r="I80" s="4"/>
    </row>
    <row r="81" customFormat="false" ht="15" hidden="false" customHeight="false" outlineLevel="0" collapsed="false">
      <c r="A81" s="4"/>
      <c r="B81" s="4"/>
      <c r="C81" s="4"/>
      <c r="D81" s="9"/>
      <c r="E81" s="9"/>
      <c r="F81" s="9" t="str">
        <f aca="false">IF(OR(D81="",E81=""),"",D81*E81)</f>
        <v/>
      </c>
      <c r="G81" s="4"/>
      <c r="H81" s="10"/>
      <c r="I81" s="4"/>
    </row>
  </sheetData>
  <mergeCells count="1">
    <mergeCell ref="A1:D1"/>
  </mergeCells>
  <dataValidations count="2">
    <dataValidation allowBlank="false" errorStyle="stop" operator="between" showDropDown="false" showErrorMessage="false" showInputMessage="false" sqref="B22:B81" type="list">
      <formula1>"主控,MCU,感測器,伺服/馬達,電源,通訊,機構,軟體,安全,其他"</formula1>
      <formula2>0</formula2>
    </dataValidation>
    <dataValidation allowBlank="false" errorStyle="stop" operator="between" showDropDown="false" showErrorMessage="false" showInputMessage="false" sqref="G22:G81" type="list">
      <formula1>"2S LiFePO4,5V 降壓,6V 降壓,7.4V 伺服電源,12V 馬達電源,USB,其他"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7265625" defaultRowHeight="15" zeroHeight="false" outlineLevelRow="0" outlineLevelCol="0"/>
  <cols>
    <col collapsed="false" customWidth="true" hidden="false" outlineLevel="0" max="3" min="1" style="0" width="13.19"/>
    <col collapsed="false" customWidth="true" hidden="false" outlineLevel="0" max="5" min="4" style="0" width="32.97"/>
    <col collapsed="false" customWidth="true" hidden="false" outlineLevel="0" max="8" min="6" style="0" width="19.79"/>
  </cols>
  <sheetData>
    <row r="1" customFormat="false" ht="30" hidden="false" customHeight="true" outlineLevel="0" collapsed="false">
      <c r="A1" s="1" t="s">
        <v>160</v>
      </c>
      <c r="B1" s="1"/>
      <c r="C1" s="1"/>
      <c r="D1" s="1"/>
      <c r="E1" s="1"/>
      <c r="F1" s="1"/>
      <c r="G1" s="1"/>
      <c r="H1" s="1"/>
    </row>
    <row r="4" customFormat="false" ht="24" hidden="false" customHeight="true" outlineLevel="0" collapsed="false">
      <c r="A4" s="2" t="s">
        <v>161</v>
      </c>
      <c r="B4" s="2" t="s">
        <v>17</v>
      </c>
      <c r="C4" s="2" t="s">
        <v>162</v>
      </c>
      <c r="D4" s="2" t="s">
        <v>163</v>
      </c>
      <c r="E4" s="2" t="s">
        <v>164</v>
      </c>
      <c r="F4" s="2" t="s">
        <v>165</v>
      </c>
      <c r="G4" s="2" t="s">
        <v>166</v>
      </c>
      <c r="H4" s="2" t="s">
        <v>24</v>
      </c>
    </row>
    <row r="5" customFormat="false" ht="17.15" hidden="false" customHeight="false" outlineLevel="0" collapsed="false">
      <c r="A5" s="8" t="s">
        <v>20</v>
      </c>
      <c r="B5" s="4" t="s">
        <v>18</v>
      </c>
      <c r="C5" s="4" t="s">
        <v>167</v>
      </c>
      <c r="D5" s="4" t="s">
        <v>168</v>
      </c>
      <c r="E5" s="4" t="s">
        <v>169</v>
      </c>
      <c r="F5" s="4" t="s">
        <v>170</v>
      </c>
      <c r="G5" s="4"/>
      <c r="H5" s="4"/>
    </row>
    <row r="6" customFormat="false" ht="15" hidden="false" customHeight="false" outlineLevel="0" collapsed="false">
      <c r="A6" s="8"/>
      <c r="B6" s="4"/>
      <c r="C6" s="4"/>
      <c r="D6" s="4"/>
      <c r="E6" s="4"/>
      <c r="F6" s="4"/>
      <c r="G6" s="4"/>
      <c r="H6" s="4"/>
    </row>
    <row r="7" customFormat="false" ht="15" hidden="false" customHeight="false" outlineLevel="0" collapsed="false">
      <c r="A7" s="8"/>
      <c r="B7" s="4"/>
      <c r="C7" s="4"/>
      <c r="D7" s="4"/>
      <c r="E7" s="4"/>
      <c r="F7" s="4"/>
      <c r="G7" s="4"/>
      <c r="H7" s="4"/>
    </row>
    <row r="8" customFormat="false" ht="15" hidden="false" customHeight="false" outlineLevel="0" collapsed="false">
      <c r="A8" s="8"/>
      <c r="B8" s="4"/>
      <c r="C8" s="4"/>
      <c r="D8" s="4"/>
      <c r="E8" s="4"/>
      <c r="F8" s="4"/>
      <c r="G8" s="4"/>
      <c r="H8" s="4"/>
    </row>
    <row r="9" customFormat="false" ht="15" hidden="false" customHeight="false" outlineLevel="0" collapsed="false">
      <c r="A9" s="8"/>
      <c r="B9" s="4"/>
      <c r="C9" s="4"/>
      <c r="D9" s="4"/>
      <c r="E9" s="4"/>
      <c r="F9" s="4"/>
      <c r="G9" s="4"/>
      <c r="H9" s="4"/>
    </row>
    <row r="10" customFormat="false" ht="15" hidden="false" customHeight="false" outlineLevel="0" collapsed="false">
      <c r="A10" s="8"/>
      <c r="B10" s="4"/>
      <c r="C10" s="4"/>
      <c r="D10" s="4"/>
      <c r="E10" s="4"/>
      <c r="F10" s="4"/>
      <c r="G10" s="4"/>
      <c r="H10" s="4"/>
    </row>
    <row r="11" customFormat="false" ht="15" hidden="false" customHeight="false" outlineLevel="0" collapsed="false">
      <c r="A11" s="8"/>
      <c r="B11" s="4"/>
      <c r="C11" s="4"/>
      <c r="D11" s="4"/>
      <c r="E11" s="4"/>
      <c r="F11" s="4"/>
      <c r="G11" s="4"/>
      <c r="H11" s="4"/>
    </row>
    <row r="12" customFormat="false" ht="15" hidden="false" customHeight="false" outlineLevel="0" collapsed="false">
      <c r="A12" s="8"/>
      <c r="B12" s="4"/>
      <c r="C12" s="4"/>
      <c r="D12" s="4"/>
      <c r="E12" s="4"/>
      <c r="F12" s="4"/>
      <c r="G12" s="4"/>
      <c r="H12" s="4"/>
    </row>
    <row r="13" customFormat="false" ht="15" hidden="false" customHeight="false" outlineLevel="0" collapsed="false">
      <c r="A13" s="8"/>
      <c r="B13" s="4"/>
      <c r="C13" s="4"/>
      <c r="D13" s="4"/>
      <c r="E13" s="4"/>
      <c r="F13" s="4"/>
      <c r="G13" s="4"/>
      <c r="H13" s="4"/>
    </row>
    <row r="14" customFormat="false" ht="15" hidden="false" customHeight="false" outlineLevel="0" collapsed="false">
      <c r="A14" s="8"/>
      <c r="B14" s="4"/>
      <c r="C14" s="4"/>
      <c r="D14" s="4"/>
      <c r="E14" s="4"/>
      <c r="F14" s="4"/>
      <c r="G14" s="4"/>
      <c r="H14" s="4"/>
    </row>
    <row r="15" customFormat="false" ht="15" hidden="false" customHeight="false" outlineLevel="0" collapsed="false">
      <c r="A15" s="8"/>
      <c r="B15" s="4"/>
      <c r="C15" s="4"/>
      <c r="D15" s="4"/>
      <c r="E15" s="4"/>
      <c r="F15" s="4"/>
      <c r="G15" s="4"/>
      <c r="H15" s="4"/>
    </row>
    <row r="16" customFormat="false" ht="15" hidden="false" customHeight="false" outlineLevel="0" collapsed="false">
      <c r="A16" s="8"/>
      <c r="B16" s="4"/>
      <c r="C16" s="4"/>
      <c r="D16" s="4"/>
      <c r="E16" s="4"/>
      <c r="F16" s="4"/>
      <c r="G16" s="4"/>
      <c r="H16" s="4"/>
    </row>
    <row r="17" customFormat="false" ht="15" hidden="false" customHeight="false" outlineLevel="0" collapsed="false">
      <c r="A17" s="8"/>
      <c r="B17" s="4"/>
      <c r="C17" s="4"/>
      <c r="D17" s="4"/>
      <c r="E17" s="4"/>
      <c r="F17" s="4"/>
      <c r="G17" s="4"/>
      <c r="H17" s="4"/>
    </row>
    <row r="18" customFormat="false" ht="15" hidden="false" customHeight="false" outlineLevel="0" collapsed="false">
      <c r="A18" s="8"/>
      <c r="B18" s="4"/>
      <c r="C18" s="4"/>
      <c r="D18" s="4"/>
      <c r="E18" s="4"/>
      <c r="F18" s="4"/>
      <c r="G18" s="4"/>
      <c r="H18" s="4"/>
    </row>
    <row r="19" customFormat="false" ht="15" hidden="false" customHeight="false" outlineLevel="0" collapsed="false">
      <c r="A19" s="8"/>
      <c r="B19" s="4"/>
      <c r="C19" s="4"/>
      <c r="D19" s="4"/>
      <c r="E19" s="4"/>
      <c r="F19" s="4"/>
      <c r="G19" s="4"/>
      <c r="H19" s="4"/>
    </row>
    <row r="20" customFormat="false" ht="15" hidden="false" customHeight="false" outlineLevel="0" collapsed="false">
      <c r="A20" s="8"/>
      <c r="B20" s="4"/>
      <c r="C20" s="4"/>
      <c r="D20" s="4"/>
      <c r="E20" s="4"/>
      <c r="F20" s="4"/>
      <c r="G20" s="4"/>
      <c r="H20" s="4"/>
    </row>
    <row r="21" customFormat="false" ht="15" hidden="false" customHeight="false" outlineLevel="0" collapsed="false">
      <c r="A21" s="8"/>
      <c r="B21" s="4"/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8"/>
      <c r="B22" s="4"/>
      <c r="C22" s="4"/>
      <c r="D22" s="4"/>
      <c r="E22" s="4"/>
      <c r="F22" s="4"/>
      <c r="G22" s="4"/>
      <c r="H22" s="4"/>
    </row>
    <row r="23" customFormat="false" ht="15" hidden="false" customHeight="false" outlineLevel="0" collapsed="false">
      <c r="A23" s="8"/>
      <c r="B23" s="4"/>
      <c r="C23" s="4"/>
      <c r="D23" s="4"/>
      <c r="E23" s="4"/>
      <c r="F23" s="4"/>
      <c r="G23" s="4"/>
      <c r="H23" s="4"/>
    </row>
    <row r="24" customFormat="false" ht="15" hidden="false" customHeight="false" outlineLevel="0" collapsed="false">
      <c r="A24" s="8"/>
      <c r="B24" s="4"/>
      <c r="C24" s="4"/>
      <c r="D24" s="4"/>
      <c r="E24" s="4"/>
      <c r="F24" s="4"/>
      <c r="G24" s="4"/>
      <c r="H24" s="4"/>
    </row>
    <row r="25" customFormat="false" ht="15" hidden="false" customHeight="false" outlineLevel="0" collapsed="false">
      <c r="A25" s="8"/>
      <c r="B25" s="4"/>
      <c r="C25" s="4"/>
      <c r="D25" s="4"/>
      <c r="E25" s="4"/>
      <c r="F25" s="4"/>
      <c r="G25" s="4"/>
      <c r="H25" s="4"/>
    </row>
    <row r="26" customFormat="false" ht="15" hidden="false" customHeight="false" outlineLevel="0" collapsed="false">
      <c r="A26" s="8"/>
      <c r="B26" s="4"/>
      <c r="C26" s="4"/>
      <c r="D26" s="4"/>
      <c r="E26" s="4"/>
      <c r="F26" s="4"/>
      <c r="G26" s="4"/>
      <c r="H26" s="4"/>
    </row>
    <row r="27" customFormat="false" ht="15" hidden="false" customHeight="false" outlineLevel="0" collapsed="false">
      <c r="A27" s="8"/>
      <c r="B27" s="4"/>
      <c r="C27" s="4"/>
      <c r="D27" s="4"/>
      <c r="E27" s="4"/>
      <c r="F27" s="4"/>
      <c r="G27" s="4"/>
      <c r="H27" s="4"/>
    </row>
    <row r="28" customFormat="false" ht="15" hidden="false" customHeight="false" outlineLevel="0" collapsed="false">
      <c r="A28" s="8"/>
      <c r="B28" s="4"/>
      <c r="C28" s="4"/>
      <c r="D28" s="4"/>
      <c r="E28" s="4"/>
      <c r="F28" s="4"/>
      <c r="G28" s="4"/>
      <c r="H28" s="4"/>
    </row>
    <row r="29" customFormat="false" ht="15" hidden="false" customHeight="false" outlineLevel="0" collapsed="false">
      <c r="A29" s="8"/>
      <c r="B29" s="4"/>
      <c r="C29" s="4"/>
      <c r="D29" s="4"/>
      <c r="E29" s="4"/>
      <c r="F29" s="4"/>
      <c r="G29" s="4"/>
      <c r="H29" s="4"/>
    </row>
    <row r="30" customFormat="false" ht="15" hidden="false" customHeight="false" outlineLevel="0" collapsed="false">
      <c r="A30" s="8"/>
      <c r="B30" s="4"/>
      <c r="C30" s="4"/>
      <c r="D30" s="4"/>
      <c r="E30" s="4"/>
      <c r="F30" s="4"/>
      <c r="G30" s="4"/>
      <c r="H30" s="4"/>
    </row>
    <row r="31" customFormat="false" ht="15" hidden="false" customHeight="false" outlineLevel="0" collapsed="false">
      <c r="A31" s="8"/>
      <c r="B31" s="4"/>
      <c r="C31" s="4"/>
      <c r="D31" s="4"/>
      <c r="E31" s="4"/>
      <c r="F31" s="4"/>
      <c r="G31" s="4"/>
      <c r="H31" s="4"/>
    </row>
    <row r="32" customFormat="false" ht="15" hidden="false" customHeight="false" outlineLevel="0" collapsed="false">
      <c r="A32" s="8"/>
      <c r="B32" s="4"/>
      <c r="C32" s="4"/>
      <c r="D32" s="4"/>
      <c r="E32" s="4"/>
      <c r="F32" s="4"/>
      <c r="G32" s="4"/>
      <c r="H32" s="4"/>
    </row>
    <row r="33" customFormat="false" ht="15" hidden="false" customHeight="false" outlineLevel="0" collapsed="false">
      <c r="A33" s="8"/>
      <c r="B33" s="4"/>
      <c r="C33" s="4"/>
      <c r="D33" s="4"/>
      <c r="E33" s="4"/>
      <c r="F33" s="4"/>
      <c r="G33" s="4"/>
      <c r="H33" s="4"/>
    </row>
    <row r="34" customFormat="false" ht="15" hidden="false" customHeight="false" outlineLevel="0" collapsed="false">
      <c r="A34" s="8"/>
      <c r="B34" s="4"/>
      <c r="C34" s="4"/>
      <c r="D34" s="4"/>
      <c r="E34" s="4"/>
      <c r="F34" s="4"/>
      <c r="G34" s="4"/>
      <c r="H34" s="4"/>
    </row>
    <row r="35" customFormat="false" ht="15" hidden="false" customHeight="false" outlineLevel="0" collapsed="false">
      <c r="A35" s="8"/>
      <c r="B35" s="4"/>
      <c r="C35" s="4"/>
      <c r="D35" s="4"/>
      <c r="E35" s="4"/>
      <c r="F35" s="4"/>
      <c r="G35" s="4"/>
      <c r="H35" s="4"/>
    </row>
    <row r="36" customFormat="false" ht="15" hidden="false" customHeight="false" outlineLevel="0" collapsed="false">
      <c r="A36" s="8"/>
      <c r="B36" s="4"/>
      <c r="C36" s="4"/>
      <c r="D36" s="4"/>
      <c r="E36" s="4"/>
      <c r="F36" s="4"/>
      <c r="G36" s="4"/>
      <c r="H36" s="4"/>
    </row>
    <row r="37" customFormat="false" ht="15" hidden="false" customHeight="false" outlineLevel="0" collapsed="false">
      <c r="A37" s="8"/>
      <c r="B37" s="4"/>
      <c r="C37" s="4"/>
      <c r="D37" s="4"/>
      <c r="E37" s="4"/>
      <c r="F37" s="4"/>
      <c r="G37" s="4"/>
      <c r="H37" s="4"/>
    </row>
    <row r="38" customFormat="false" ht="15" hidden="false" customHeight="false" outlineLevel="0" collapsed="false">
      <c r="A38" s="8"/>
      <c r="B38" s="4"/>
      <c r="C38" s="4"/>
      <c r="D38" s="4"/>
      <c r="E38" s="4"/>
      <c r="F38" s="4"/>
      <c r="G38" s="4"/>
      <c r="H38" s="4"/>
    </row>
    <row r="39" customFormat="false" ht="15" hidden="false" customHeight="false" outlineLevel="0" collapsed="false">
      <c r="A39" s="8"/>
      <c r="B39" s="4"/>
      <c r="C39" s="4"/>
      <c r="D39" s="4"/>
      <c r="E39" s="4"/>
      <c r="F39" s="4"/>
      <c r="G39" s="4"/>
      <c r="H39" s="4"/>
    </row>
    <row r="40" customFormat="false" ht="15" hidden="false" customHeight="false" outlineLevel="0" collapsed="false">
      <c r="A40" s="8"/>
      <c r="B40" s="4"/>
      <c r="C40" s="4"/>
      <c r="D40" s="4"/>
      <c r="E40" s="4"/>
      <c r="F40" s="4"/>
      <c r="G40" s="4"/>
      <c r="H40" s="4"/>
    </row>
    <row r="41" customFormat="false" ht="15" hidden="false" customHeight="false" outlineLevel="0" collapsed="false">
      <c r="A41" s="8"/>
      <c r="B41" s="4"/>
      <c r="C41" s="4"/>
      <c r="D41" s="4"/>
      <c r="E41" s="4"/>
      <c r="F41" s="4"/>
      <c r="G41" s="4"/>
      <c r="H41" s="4"/>
    </row>
    <row r="42" customFormat="false" ht="15" hidden="false" customHeight="false" outlineLevel="0" collapsed="false">
      <c r="A42" s="8"/>
      <c r="B42" s="4"/>
      <c r="C42" s="4"/>
      <c r="D42" s="4"/>
      <c r="E42" s="4"/>
      <c r="F42" s="4"/>
      <c r="G42" s="4"/>
      <c r="H42" s="4"/>
    </row>
    <row r="43" customFormat="false" ht="15" hidden="false" customHeight="false" outlineLevel="0" collapsed="false">
      <c r="A43" s="8"/>
      <c r="B43" s="4"/>
      <c r="C43" s="4"/>
      <c r="D43" s="4"/>
      <c r="E43" s="4"/>
      <c r="F43" s="4"/>
      <c r="G43" s="4"/>
      <c r="H43" s="4"/>
    </row>
    <row r="44" customFormat="false" ht="15" hidden="false" customHeight="false" outlineLevel="0" collapsed="false">
      <c r="A44" s="8"/>
      <c r="B44" s="4"/>
      <c r="C44" s="4"/>
      <c r="D44" s="4"/>
      <c r="E44" s="4"/>
      <c r="F44" s="4"/>
      <c r="G44" s="4"/>
      <c r="H44" s="4"/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zh-TW</dc:language>
  <cp:lastModifiedBy/>
  <dcterms:modified xsi:type="dcterms:W3CDTF">2026-07-15T11:47:46Z</dcterms:modified>
  <cp:revision>1</cp:revision>
  <dc:subject/>
  <dc:title/>
</cp:coreProperties>
</file>